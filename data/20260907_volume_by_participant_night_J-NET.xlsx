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<sst xmlns="http://schemas.openxmlformats.org/spreadsheetml/2006/main" count="232" uniqueCount="83">
  <si>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</si>
  <si>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</si>
  <si>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</si>
  <si>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</si>
  <si>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</si>
  <si>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</si>
  <si>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</si>
  <si>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</si>
  <si>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</si>
  <si>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20260907</t>
  </si>
  <si>
    <t>NK225F</t>
  </si>
  <si>
    <t>161090018</t>
  </si>
  <si>
    <t>NIKKEI 225 FUT 2609</t>
  </si>
  <si>
    <t>11788</t>
  </si>
  <si>
    <t>ソシエテＧ証券</t>
  </si>
  <si>
    <t>Societe Generale Securities Japan</t>
  </si>
  <si>
    <t>12724</t>
  </si>
  <si>
    <t>ＨＳＢＣ証券</t>
  </si>
  <si>
    <t>HSBC Securities (Japan)</t>
  </si>
  <si>
    <t>11256</t>
  </si>
  <si>
    <t>ＳＢＩ証券</t>
  </si>
  <si>
    <t>SBI SECURITIES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</si>
  <si>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</si>
  <si>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</si>
  <si>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</si>
  <si>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</si>
  <si>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</si>
  <si>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</si>
  <si>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</si>
  <si>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</si>
  <si>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</si>
  <si>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</si>
  <si>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</si>
  <si>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</si>
  <si>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12400</t>
  </si>
  <si>
    <t>野村証券</t>
  </si>
  <si>
    <t>The Nomura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</si>
  <si>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</si>
  <si>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</si>
  <si>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</si>
  <si>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</si>
  <si>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</si>
  <si>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</si>
  <si>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</si>
  <si>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</si>
  <si>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</si>
  <si>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</si>
  <si>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</si>
  <si>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</si>
  <si>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12336</t>
  </si>
  <si>
    <t>日産証券</t>
  </si>
  <si>
    <t>Nissan Securities</t>
  </si>
  <si>
    <t>161120018</t>
  </si>
  <si>
    <t>NIKKEI 225 FUT 2612</t>
  </si>
  <si>
    <t>NK225MF</t>
  </si>
  <si>
    <t>161090019</t>
  </si>
  <si>
    <t>MINI NK225 FUT 2609</t>
  </si>
  <si>
    <t>11560</t>
  </si>
  <si>
    <t>ゴールドマン証券</t>
  </si>
  <si>
    <t>Goldman Sachs Japan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</si>
  <si>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</si>
  <si>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</si>
  <si>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</si>
  <si>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</si>
  <si>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</si>
  <si>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</si>
  <si>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</si>
  <si>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11746</t>
  </si>
  <si>
    <t>ＵＢＳ証券</t>
  </si>
  <si>
    <t>UBS Securities Japan</t>
  </si>
  <si>
    <t>NK225E</t>
  </si>
  <si>
    <t>181215518</t>
  </si>
  <si>
    <t>NIKKEI 225 OOP P2609-65500</t>
  </si>
  <si>
    <t>181216518</t>
  </si>
  <si>
    <t>NIKKEI 225 OOP P2609-66500</t>
  </si>
  <si>
    <t>141337018</t>
  </si>
  <si>
    <t>NIKKEI 225 OOP C2609-67000</t>
  </si>
  <si>
    <t>191216518</t>
  </si>
  <si>
    <t>NIKKEI 225 OOP C2609-66500</t>
  </si>
  <si>
    <t>141096318</t>
  </si>
  <si>
    <t>NIKKEI 225 OOP C2609-66375</t>
  </si>
  <si>
    <t>191216218</t>
  </si>
  <si>
    <t>NIKKEI 225 OOP C2609-66250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</si>
</sst>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2065.0</f>
        <v>2065.0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2000.0</f>
        <v>2000.0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1338.0</f>
        <v>1338.0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418.0</f>
        <v>418.0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132.0</f>
        <v>132.0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36.0</f>
        <v>36.0</v>
      </c>
    </row>
    <row r="15">
      <c r="A15" s="3" t="s">
        <v>10</v>
      </c>
      <c r="B15" s="4" t="s">
        <v>11</v>
      </c>
      <c r="C15" s="4" t="s">
        <v>12</v>
      </c>
      <c r="D15" s="3" t="n">
        <v>6.0</v>
      </c>
      <c r="E15" s="4" t="s">
        <v>31</v>
      </c>
      <c r="F15" s="4" t="s">
        <v>32</v>
      </c>
      <c r="G15" s="4" t="s">
        <v>33</v>
      </c>
      <c r="H15" s="5" t="n">
        <f>36.0</f>
        <v>36.0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33.0</f>
        <v>33.0</v>
      </c>
    </row>
    <row r="17">
      <c r="A17" s="3" t="s">
        <v>10</v>
      </c>
      <c r="B17" s="4" t="s">
        <v>11</v>
      </c>
      <c r="C17" s="4" t="s">
        <v>12</v>
      </c>
      <c r="D17" s="3" t="n">
        <v>8.0</v>
      </c>
      <c r="E17" s="4" t="s">
        <v>37</v>
      </c>
      <c r="F17" s="4" t="s">
        <v>38</v>
      </c>
      <c r="G17" s="4" t="s">
        <v>39</v>
      </c>
      <c r="H17" s="5" t="n">
        <f>33.0</f>
        <v>33.0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32.0</f>
        <v>32.0</v>
      </c>
    </row>
    <row r="19">
      <c r="A19" s="3" t="s">
        <v>10</v>
      </c>
      <c r="B19" s="4" t="s">
        <v>11</v>
      </c>
      <c r="C19" s="4" t="s">
        <v>12</v>
      </c>
      <c r="D19" s="3" t="n">
        <v>10.0</v>
      </c>
      <c r="E19" s="4" t="s">
        <v>43</v>
      </c>
      <c r="F19" s="4" t="s">
        <v>44</v>
      </c>
      <c r="G19" s="4" t="s">
        <v>45</v>
      </c>
      <c r="H19" s="5" t="n">
        <f>32.0</f>
        <v>32.0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15.0</f>
        <v>15.0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6.0</f>
        <v>6.0</v>
      </c>
    </row>
    <row r="22">
      <c r="A22" s="3" t="s">
        <v>10</v>
      </c>
      <c r="B22" s="4" t="s">
        <v>52</v>
      </c>
      <c r="C22" s="4" t="s">
        <v>53</v>
      </c>
      <c r="D22" s="3" t="n">
        <v>1.0</v>
      </c>
      <c r="E22" s="4" t="s">
        <v>13</v>
      </c>
      <c r="F22" s="4" t="s">
        <v>14</v>
      </c>
      <c r="G22" s="4" t="s">
        <v>15</v>
      </c>
      <c r="H22" s="5" t="n">
        <f>2000.0</f>
        <v>2000.0</v>
      </c>
    </row>
    <row r="23">
      <c r="A23" s="3" t="s">
        <v>10</v>
      </c>
      <c r="B23" s="4" t="s">
        <v>52</v>
      </c>
      <c r="C23" s="4" t="s">
        <v>53</v>
      </c>
      <c r="D23" s="3" t="n">
        <v>1.0</v>
      </c>
      <c r="E23" s="4" t="s">
        <v>16</v>
      </c>
      <c r="F23" s="4" t="s">
        <v>17</v>
      </c>
      <c r="G23" s="4" t="s">
        <v>18</v>
      </c>
      <c r="H23" s="5" t="n">
        <f>2000.0</f>
        <v>2000.0</v>
      </c>
    </row>
    <row r="24">
      <c r="A24" s="3" t="s">
        <v>10</v>
      </c>
      <c r="B24" s="4" t="s">
        <v>52</v>
      </c>
      <c r="C24" s="4" t="s">
        <v>53</v>
      </c>
      <c r="D24" s="3" t="n">
        <v>3.0</v>
      </c>
      <c r="E24" s="4" t="s">
        <v>22</v>
      </c>
      <c r="F24" s="4" t="s">
        <v>23</v>
      </c>
      <c r="G24" s="4" t="s">
        <v>24</v>
      </c>
      <c r="H24" s="5" t="n">
        <f>84.0</f>
        <v>84.0</v>
      </c>
    </row>
    <row r="25">
      <c r="A25" s="3" t="s">
        <v>10</v>
      </c>
      <c r="B25" s="4" t="s">
        <v>52</v>
      </c>
      <c r="C25" s="4" t="s">
        <v>53</v>
      </c>
      <c r="D25" s="3" t="n">
        <v>4.0</v>
      </c>
      <c r="E25" s="4" t="s">
        <v>43</v>
      </c>
      <c r="F25" s="4" t="s">
        <v>44</v>
      </c>
      <c r="G25" s="4" t="s">
        <v>45</v>
      </c>
      <c r="H25" s="5" t="n">
        <f>76.0</f>
        <v>76.0</v>
      </c>
    </row>
    <row r="26">
      <c r="A26" s="3" t="s">
        <v>10</v>
      </c>
      <c r="B26" s="4" t="s">
        <v>52</v>
      </c>
      <c r="C26" s="4" t="s">
        <v>53</v>
      </c>
      <c r="D26" s="3" t="n">
        <v>5.0</v>
      </c>
      <c r="E26" s="4" t="s">
        <v>19</v>
      </c>
      <c r="F26" s="4" t="s">
        <v>20</v>
      </c>
      <c r="G26" s="4" t="s">
        <v>21</v>
      </c>
      <c r="H26" s="5" t="n">
        <f>58.0</f>
        <v>58.0</v>
      </c>
    </row>
    <row r="27">
      <c r="A27" s="3" t="s">
        <v>54</v>
      </c>
      <c r="B27" s="4" t="s">
        <v>55</v>
      </c>
      <c r="C27" s="4" t="s">
        <v>56</v>
      </c>
      <c r="D27" s="3" t="n">
        <v>1.0</v>
      </c>
      <c r="E27" s="4" t="s">
        <v>19</v>
      </c>
      <c r="F27" s="4" t="s">
        <v>20</v>
      </c>
      <c r="G27" s="4" t="s">
        <v>21</v>
      </c>
      <c r="H27" s="5" t="n">
        <f>44786.0</f>
        <v>44786.0</v>
      </c>
    </row>
    <row r="28">
      <c r="A28" s="3" t="s">
        <v>54</v>
      </c>
      <c r="B28" s="4" t="s">
        <v>55</v>
      </c>
      <c r="C28" s="4" t="s">
        <v>56</v>
      </c>
      <c r="D28" s="3" t="n">
        <v>2.0</v>
      </c>
      <c r="E28" s="4" t="s">
        <v>22</v>
      </c>
      <c r="F28" s="4" t="s">
        <v>23</v>
      </c>
      <c r="G28" s="4" t="s">
        <v>24</v>
      </c>
      <c r="H28" s="5" t="n">
        <f>26078.0</f>
        <v>26078.0</v>
      </c>
    </row>
    <row r="29">
      <c r="A29" s="3" t="s">
        <v>54</v>
      </c>
      <c r="B29" s="4" t="s">
        <v>55</v>
      </c>
      <c r="C29" s="4" t="s">
        <v>56</v>
      </c>
      <c r="D29" s="3" t="n">
        <v>3.0</v>
      </c>
      <c r="E29" s="4" t="s">
        <v>28</v>
      </c>
      <c r="F29" s="4" t="s">
        <v>29</v>
      </c>
      <c r="G29" s="4" t="s">
        <v>30</v>
      </c>
      <c r="H29" s="5" t="n">
        <f>4384.0</f>
        <v>4384.0</v>
      </c>
    </row>
    <row r="30">
      <c r="A30" s="3" t="s">
        <v>54</v>
      </c>
      <c r="B30" s="4" t="s">
        <v>55</v>
      </c>
      <c r="C30" s="4" t="s">
        <v>56</v>
      </c>
      <c r="D30" s="3" t="n">
        <v>4.0</v>
      </c>
      <c r="E30" s="4" t="s">
        <v>57</v>
      </c>
      <c r="F30" s="4" t="s">
        <v>58</v>
      </c>
      <c r="G30" s="4" t="s">
        <v>59</v>
      </c>
      <c r="H30" s="5" t="n">
        <f>24.0</f>
        <v>24.0</v>
      </c>
    </row>
    <row r="31">
      <c r="A31" s="3" t="s">
        <v>54</v>
      </c>
      <c r="B31" s="4" t="s">
        <v>60</v>
      </c>
      <c r="C31" s="4" t="s">
        <v>61</v>
      </c>
      <c r="D31" s="3" t="n">
        <v>1.0</v>
      </c>
      <c r="E31" s="4" t="s">
        <v>22</v>
      </c>
      <c r="F31" s="4" t="s">
        <v>23</v>
      </c>
      <c r="G31" s="4" t="s">
        <v>24</v>
      </c>
      <c r="H31" s="5" t="n">
        <f>592.0</f>
        <v>592.0</v>
      </c>
    </row>
    <row r="32">
      <c r="A32" s="3" t="s">
        <v>54</v>
      </c>
      <c r="B32" s="4" t="s">
        <v>60</v>
      </c>
      <c r="C32" s="4" t="s">
        <v>61</v>
      </c>
      <c r="D32" s="3" t="n">
        <v>2.0</v>
      </c>
      <c r="E32" s="4" t="s">
        <v>19</v>
      </c>
      <c r="F32" s="4" t="s">
        <v>20</v>
      </c>
      <c r="G32" s="4" t="s">
        <v>21</v>
      </c>
      <c r="H32" s="5" t="n">
        <f>340.0</f>
        <v>340.0</v>
      </c>
    </row>
    <row r="33">
      <c r="A33" s="3" t="s">
        <v>54</v>
      </c>
      <c r="B33" s="4" t="s">
        <v>60</v>
      </c>
      <c r="C33" s="4" t="s">
        <v>61</v>
      </c>
      <c r="D33" s="3" t="n">
        <v>3.0</v>
      </c>
      <c r="E33" s="4" t="s">
        <v>28</v>
      </c>
      <c r="F33" s="4" t="s">
        <v>29</v>
      </c>
      <c r="G33" s="4" t="s">
        <v>30</v>
      </c>
      <c r="H33" s="5" t="n">
        <f>82.0</f>
        <v>82.0</v>
      </c>
    </row>
    <row r="34">
      <c r="A34" s="3" t="s">
        <v>54</v>
      </c>
      <c r="B34" s="4" t="s">
        <v>62</v>
      </c>
      <c r="C34" s="4" t="s">
        <v>63</v>
      </c>
      <c r="D34" s="3" t="n">
        <v>1.0</v>
      </c>
      <c r="E34" s="4" t="s">
        <v>19</v>
      </c>
      <c r="F34" s="4" t="s">
        <v>20</v>
      </c>
      <c r="G34" s="4" t="s">
        <v>21</v>
      </c>
      <c r="H34" s="5" t="n">
        <f>22.0</f>
        <v>22.0</v>
      </c>
    </row>
    <row r="35">
      <c r="A35" s="3" t="s">
        <v>64</v>
      </c>
      <c r="B35" s="4" t="s">
        <v>65</v>
      </c>
      <c r="C35" s="4" t="s">
        <v>66</v>
      </c>
      <c r="D35" s="3" t="n">
        <v>1.0</v>
      </c>
      <c r="E35" s="4" t="s">
        <v>57</v>
      </c>
      <c r="F35" s="4" t="s">
        <v>58</v>
      </c>
      <c r="G35" s="4" t="s">
        <v>59</v>
      </c>
      <c r="H35" s="5" t="n">
        <f>49.0</f>
        <v>49.0</v>
      </c>
    </row>
    <row r="36">
      <c r="A36" s="3" t="s">
        <v>64</v>
      </c>
      <c r="B36" s="4" t="s">
        <v>65</v>
      </c>
      <c r="C36" s="4" t="s">
        <v>66</v>
      </c>
      <c r="D36" s="3" t="n">
        <v>2.0</v>
      </c>
      <c r="E36" s="4" t="s">
        <v>67</v>
      </c>
      <c r="F36" s="4" t="s">
        <v>68</v>
      </c>
      <c r="G36" s="4" t="s">
        <v>69</v>
      </c>
      <c r="H36" s="5" t="n">
        <f>39.0</f>
        <v>39.0</v>
      </c>
    </row>
    <row r="37">
      <c r="A37" s="3" t="s">
        <v>64</v>
      </c>
      <c r="B37" s="4" t="s">
        <v>65</v>
      </c>
      <c r="C37" s="4" t="s">
        <v>66</v>
      </c>
      <c r="D37" s="3" t="n">
        <v>3.0</v>
      </c>
      <c r="E37" s="4" t="s">
        <v>19</v>
      </c>
      <c r="F37" s="4" t="s">
        <v>20</v>
      </c>
      <c r="G37" s="4" t="s">
        <v>21</v>
      </c>
      <c r="H37" s="5" t="n">
        <f>6.0</f>
        <v>6.0</v>
      </c>
    </row>
    <row r="38">
      <c r="A38" s="3" t="s">
        <v>70</v>
      </c>
      <c r="B38" s="4" t="s">
        <v>71</v>
      </c>
      <c r="C38" s="4" t="s">
        <v>72</v>
      </c>
      <c r="D38" s="3" t="n">
        <v>1.0</v>
      </c>
      <c r="E38" s="4" t="s">
        <v>19</v>
      </c>
      <c r="F38" s="4" t="s">
        <v>20</v>
      </c>
      <c r="G38" s="4" t="s">
        <v>21</v>
      </c>
      <c r="H38" s="5" t="n">
        <f>2.0</f>
        <v>2.0</v>
      </c>
    </row>
    <row r="39">
      <c r="A39" s="3" t="s">
        <v>70</v>
      </c>
      <c r="B39" s="4" t="s">
        <v>73</v>
      </c>
      <c r="C39" s="4" t="s">
        <v>74</v>
      </c>
      <c r="D39" s="3" t="n">
        <v>1.0</v>
      </c>
      <c r="E39" s="4" t="s">
        <v>19</v>
      </c>
      <c r="F39" s="4" t="s">
        <v>20</v>
      </c>
      <c r="G39" s="4" t="s">
        <v>21</v>
      </c>
      <c r="H39" s="5" t="n">
        <f>10.0</f>
        <v>10.0</v>
      </c>
    </row>
    <row r="40">
      <c r="A40" s="3" t="s">
        <v>70</v>
      </c>
      <c r="B40" s="4" t="s">
        <v>75</v>
      </c>
      <c r="C40" s="4" t="s">
        <v>76</v>
      </c>
      <c r="D40" s="3" t="n">
        <v>1.0</v>
      </c>
      <c r="E40" s="4" t="s">
        <v>22</v>
      </c>
      <c r="F40" s="4" t="s">
        <v>23</v>
      </c>
      <c r="G40" s="4" t="s">
        <v>24</v>
      </c>
      <c r="H40" s="5" t="n">
        <f>234.0</f>
        <v>234.0</v>
      </c>
    </row>
    <row r="41">
      <c r="A41" s="3" t="s">
        <v>70</v>
      </c>
      <c r="B41" s="4" t="s">
        <v>75</v>
      </c>
      <c r="C41" s="4" t="s">
        <v>76</v>
      </c>
      <c r="D41" s="3" t="n">
        <v>2.0</v>
      </c>
      <c r="E41" s="4" t="s">
        <v>19</v>
      </c>
      <c r="F41" s="4" t="s">
        <v>20</v>
      </c>
      <c r="G41" s="4" t="s">
        <v>21</v>
      </c>
      <c r="H41" s="5" t="n">
        <f>84.0</f>
        <v>84.0</v>
      </c>
    </row>
    <row r="42">
      <c r="A42" s="3" t="s">
        <v>70</v>
      </c>
      <c r="B42" s="4" t="s">
        <v>77</v>
      </c>
      <c r="C42" s="4" t="s">
        <v>78</v>
      </c>
      <c r="D42" s="3" t="n">
        <v>1.0</v>
      </c>
      <c r="E42" s="4" t="s">
        <v>19</v>
      </c>
      <c r="F42" s="4" t="s">
        <v>20</v>
      </c>
      <c r="G42" s="4" t="s">
        <v>21</v>
      </c>
      <c r="H42" s="5" t="n">
        <f>126.0</f>
        <v>126.0</v>
      </c>
    </row>
    <row r="43">
      <c r="A43" s="3" t="s">
        <v>70</v>
      </c>
      <c r="B43" s="4" t="s">
        <v>77</v>
      </c>
      <c r="C43" s="4" t="s">
        <v>78</v>
      </c>
      <c r="D43" s="3" t="n">
        <v>2.0</v>
      </c>
      <c r="E43" s="4" t="s">
        <v>22</v>
      </c>
      <c r="F43" s="4" t="s">
        <v>23</v>
      </c>
      <c r="G43" s="4" t="s">
        <v>24</v>
      </c>
      <c r="H43" s="5" t="n">
        <f>4.0</f>
        <v>4.0</v>
      </c>
    </row>
    <row r="44">
      <c r="A44" s="3" t="s">
        <v>70</v>
      </c>
      <c r="B44" s="4" t="s">
        <v>79</v>
      </c>
      <c r="C44" s="4" t="s">
        <v>80</v>
      </c>
      <c r="D44" s="3" t="n">
        <v>1.0</v>
      </c>
      <c r="E44" s="4" t="s">
        <v>19</v>
      </c>
      <c r="F44" s="4" t="s">
        <v>20</v>
      </c>
      <c r="G44" s="4" t="s">
        <v>21</v>
      </c>
      <c r="H44" s="5" t="n">
        <f>2.0</f>
        <v>2.0</v>
      </c>
    </row>
    <row r="45">
      <c r="A45" s="3" t="s">
        <v>70</v>
      </c>
      <c r="B45" s="4" t="s">
        <v>81</v>
      </c>
      <c r="C45" s="4" t="s">
        <v>82</v>
      </c>
      <c r="D45" s="3" t="n">
        <v>1.0</v>
      </c>
      <c r="E45" s="4" t="s">
        <v>19</v>
      </c>
      <c r="F45" s="4" t="s">
        <v>20</v>
      </c>
      <c r="G45" s="4" t="s">
        <v>21</v>
      </c>
      <c r="H45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