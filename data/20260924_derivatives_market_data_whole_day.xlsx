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<sst xmlns="http://schemas.openxmlformats.org/spreadsheetml/2006/main" count="528" uniqueCount="129">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</sst>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DATE(2026,09,24)</f>
        <v>46289.0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DATE(2026,09,24)</f>
        <v>46289.0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3508405.0</f>
        <v>3508405.0</v>
      </c>
      <c r="E12" s="18" t="n">
        <f>187329.0</f>
        <v>187329.0</v>
      </c>
      <c r="F12" s="19" t="n">
        <f>1.0</f>
        <v>1.0</v>
      </c>
      <c r="G12" s="17" t="n">
        <f>16230768516150.0</f>
        <v>1.623076851615E13</v>
      </c>
      <c r="H12" s="18" t="n">
        <f>1484626294700.0</f>
        <v>1.4846262947E12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409515.0</f>
        <v>409515.0</v>
      </c>
      <c r="E13" s="22" t="n">
        <f>17131.0</f>
        <v>17131.0</v>
      </c>
      <c r="F13" s="23" t="n">
        <f>1.0</f>
        <v>1.0</v>
      </c>
      <c r="G13" s="21" t="n">
        <f>5096775173075.0</f>
        <v>5.096775173075E12</v>
      </c>
      <c r="H13" s="22" t="n">
        <f>233920088050.0</f>
        <v>2.3392008805E11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394281.0</f>
        <v>394281.0</v>
      </c>
      <c r="E14" s="22" t="n">
        <f>26976.0</f>
        <v>26976.0</v>
      </c>
      <c r="F14" s="23" t="n">
        <f>1.0</f>
        <v>1.0</v>
      </c>
      <c r="G14" s="21" t="n">
        <f>5922973558605.0</f>
        <v>5.922973558605E12</v>
      </c>
      <c r="H14" s="22" t="n">
        <f>731045887455.0</f>
        <v>7.31045887455E11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4312201.0</f>
        <v>4312201.0</v>
      </c>
      <c r="E15" s="26" t="n">
        <f>231436.0</f>
        <v>231436.0</v>
      </c>
      <c r="F15" s="27" t="n">
        <f>1.0</f>
        <v>1.0</v>
      </c>
      <c r="G15" s="25" t="n">
        <f>27250517247830.0</f>
        <v>2.725051724783E13</v>
      </c>
      <c r="H15" s="26" t="n">
        <f>2449592270205.0</f>
        <v>2.449592270205E12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19021.0</f>
        <v>19021.0</v>
      </c>
      <c r="E16" s="18" t="n">
        <f>480.0</f>
        <v>480.0</v>
      </c>
      <c r="F16" s="19" t="n">
        <f>0.005</f>
        <v>0.005</v>
      </c>
      <c r="G16" s="17" t="n">
        <f>1906533351250.0</f>
        <v>1.90653335125E12</v>
      </c>
      <c r="H16" s="18" t="n">
        <f>60113680000.0</f>
        <v>6.011368E10</v>
      </c>
      <c r="I16" s="19" t="n">
        <f>0.117</f>
        <v>0.117</v>
      </c>
    </row>
    <row r="17" spans="1:9" ht="24.9" customHeight="1">
      <c r="A17" s="41"/>
      <c r="B17" s="39"/>
      <c r="C17" s="20" t="s">
        <v>16</v>
      </c>
      <c r="D17" s="21" t="n">
        <f>23507.0</f>
        <v>23507.0</v>
      </c>
      <c r="E17" s="22" t="n">
        <f>655.0</f>
        <v>655.0</v>
      </c>
      <c r="F17" s="23" t="n">
        <f>0.057</f>
        <v>0.057</v>
      </c>
      <c r="G17" s="21" t="n">
        <f>2514600733375.0</f>
        <v>2.514600733375E12</v>
      </c>
      <c r="H17" s="22" t="n">
        <f>81677790000.0</f>
        <v>8.167779E10</v>
      </c>
      <c r="I17" s="23" t="n">
        <f>0.493</f>
        <v>0.493</v>
      </c>
    </row>
    <row r="18" spans="1:9" ht="24.9" customHeight="1">
      <c r="A18" s="41"/>
      <c r="B18" s="39"/>
      <c r="C18" s="20" t="s">
        <v>17</v>
      </c>
      <c r="D18" s="21" t="n">
        <f>22926.0</f>
        <v>22926.0</v>
      </c>
      <c r="E18" s="22" t="n">
        <f>998.0</f>
        <v>998.0</v>
      </c>
      <c r="F18" s="23" t="n">
        <f>0.058</f>
        <v>0.058</v>
      </c>
      <c r="G18" s="21" t="n">
        <f>2585622208500.0</f>
        <v>2.5856222085E12</v>
      </c>
      <c r="H18" s="22" t="n">
        <f>124221120000.0</f>
        <v>1.2422112E11</v>
      </c>
      <c r="I18" s="23" t="n">
        <f>0.437</f>
        <v>0.437</v>
      </c>
    </row>
    <row r="19" spans="1:9" ht="24.9" customHeight="1">
      <c r="A19" s="41"/>
      <c r="B19" s="39"/>
      <c r="C19" s="24" t="s">
        <v>18</v>
      </c>
      <c r="D19" s="25" t="n">
        <f>65454.0</f>
        <v>65454.0</v>
      </c>
      <c r="E19" s="26" t="n">
        <f>2133.0</f>
        <v>2133.0</v>
      </c>
      <c r="F19" s="27" t="n">
        <f>0.015</f>
        <v>0.015</v>
      </c>
      <c r="G19" s="25" t="n">
        <f>7006756293125.0</f>
        <v>7.006756293125E12</v>
      </c>
      <c r="H19" s="26" t="n">
        <f>266012590000.0</f>
        <v>2.6601259E11</v>
      </c>
      <c r="I19" s="27" t="n">
        <f>0.257</f>
        <v>0.257</v>
      </c>
    </row>
    <row r="20" spans="1:9" ht="24.9" customHeight="1">
      <c r="A20" s="41"/>
      <c r="B20" s="39" t="s">
        <v>21</v>
      </c>
      <c r="C20" s="16" t="s">
        <v>15</v>
      </c>
      <c r="D20" s="17" t="n">
        <f>3443587.0</f>
        <v>3443587.0</v>
      </c>
      <c r="E20" s="18" t="n">
        <f>186849.0</f>
        <v>186849.0</v>
      </c>
      <c r="F20" s="19" t="n">
        <f>0.982</f>
        <v>0.982</v>
      </c>
      <c r="G20" s="17" t="n">
        <f>13845656022050.0</f>
        <v>1.384565602205E13</v>
      </c>
      <c r="H20" s="18" t="n">
        <f>1424512614700.0</f>
        <v>1.4245126147E12</v>
      </c>
      <c r="I20" s="19" t="n">
        <f>0.853</f>
        <v>0.853</v>
      </c>
    </row>
    <row r="21" spans="1:9" ht="24.9" customHeight="1">
      <c r="A21" s="41"/>
      <c r="B21" s="39"/>
      <c r="C21" s="20" t="s">
        <v>16</v>
      </c>
      <c r="D21" s="21" t="n">
        <f>379419.0</f>
        <v>379419.0</v>
      </c>
      <c r="E21" s="22" t="n">
        <f>16463.0</f>
        <v>16463.0</v>
      </c>
      <c r="F21" s="23" t="n">
        <f>0.927</f>
        <v>0.927</v>
      </c>
      <c r="G21" s="21" t="n">
        <f>2517876606150.0</f>
        <v>2.51787660615E12</v>
      </c>
      <c r="H21" s="22" t="n">
        <f>152213828050.0</f>
        <v>1.5221382805E11</v>
      </c>
      <c r="I21" s="23" t="n">
        <f>0.494</f>
        <v>0.494</v>
      </c>
    </row>
    <row r="22" spans="1:9" ht="24.9" customHeight="1">
      <c r="A22" s="41"/>
      <c r="B22" s="39"/>
      <c r="C22" s="20" t="s">
        <v>17</v>
      </c>
      <c r="D22" s="21" t="n">
        <f>360892.0</f>
        <v>360892.0</v>
      </c>
      <c r="E22" s="22" t="n">
        <f>25943.0</f>
        <v>25943.0</v>
      </c>
      <c r="F22" s="23" t="n">
        <f>0.915</f>
        <v>0.915</v>
      </c>
      <c r="G22" s="21" t="n">
        <f>3250953085955.0</f>
        <v>3.250953085955E12</v>
      </c>
      <c r="H22" s="22" t="n">
        <f>606744872455.0</f>
        <v>6.06744872455E11</v>
      </c>
      <c r="I22" s="23" t="n">
        <f>0.549</f>
        <v>0.549</v>
      </c>
    </row>
    <row r="23" spans="1:9" ht="24.9" customHeight="1">
      <c r="A23" s="41"/>
      <c r="B23" s="39"/>
      <c r="C23" s="24" t="s">
        <v>18</v>
      </c>
      <c r="D23" s="25" t="n">
        <f>4183898.0</f>
        <v>4183898.0</v>
      </c>
      <c r="E23" s="26" t="n">
        <f>229255.0</f>
        <v>229255.0</v>
      </c>
      <c r="F23" s="27" t="n">
        <f>0.97</f>
        <v>0.97</v>
      </c>
      <c r="G23" s="25" t="n">
        <f>19614485714155.0</f>
        <v>1.9614485714155E13</v>
      </c>
      <c r="H23" s="26" t="n">
        <f>2183471315205.0</f>
        <v>2.183471315205E12</v>
      </c>
      <c r="I23" s="27" t="n">
        <f>0.72</f>
        <v>0.72</v>
      </c>
    </row>
    <row r="24" spans="1:9" ht="24.9" customHeight="1">
      <c r="A24" s="41"/>
      <c r="B24" s="39" t="s">
        <v>22</v>
      </c>
      <c r="C24" s="16" t="s">
        <v>15</v>
      </c>
      <c r="D24" s="17" t="n">
        <f>44802.0</f>
        <v>44802.0</v>
      </c>
      <c r="E24" s="18" t="n">
        <f>0.0</f>
        <v>0.0</v>
      </c>
      <c r="F24" s="19" t="n">
        <f>0.013</f>
        <v>0.013</v>
      </c>
      <c r="G24" s="17" t="n">
        <f>474364162350.0</f>
        <v>4.7436416235E11</v>
      </c>
      <c r="H24" s="18" t="n">
        <f>0.0</f>
        <v>0.0</v>
      </c>
      <c r="I24" s="19" t="n">
        <f>0.029</f>
        <v>0.029</v>
      </c>
    </row>
    <row r="25" spans="1:9" ht="24.9" customHeight="1">
      <c r="A25" s="41"/>
      <c r="B25" s="39"/>
      <c r="C25" s="20" t="s">
        <v>16</v>
      </c>
      <c r="D25" s="21" t="n">
        <f>6496.0</f>
        <v>6496.0</v>
      </c>
      <c r="E25" s="22" t="n">
        <f>13.0</f>
        <v>13.0</v>
      </c>
      <c r="F25" s="23" t="n">
        <f>0.016</f>
        <v>0.016</v>
      </c>
      <c r="G25" s="21" t="n">
        <f>63942940050.0</f>
        <v>6.394294005E10</v>
      </c>
      <c r="H25" s="22" t="n">
        <f>28470000.0</f>
        <v>2.847E7</v>
      </c>
      <c r="I25" s="23" t="n">
        <f>0.013</f>
        <v>0.013</v>
      </c>
    </row>
    <row r="26" spans="1:9" ht="24.9" customHeight="1">
      <c r="A26" s="41"/>
      <c r="B26" s="39"/>
      <c r="C26" s="20" t="s">
        <v>17</v>
      </c>
      <c r="D26" s="21" t="n">
        <f>8917.0</f>
        <v>8917.0</v>
      </c>
      <c r="E26" s="22" t="n">
        <f>35.0</f>
        <v>35.0</v>
      </c>
      <c r="F26" s="23" t="n">
        <f>0.023</f>
        <v>0.023</v>
      </c>
      <c r="G26" s="21" t="n">
        <f>79708829650.0</f>
        <v>7.970882965E10</v>
      </c>
      <c r="H26" s="22" t="n">
        <f>79895000.0</f>
        <v>7.9895E7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60215.0</f>
        <v>60215.0</v>
      </c>
      <c r="E27" s="26" t="n">
        <f>48.0</f>
        <v>48.0</v>
      </c>
      <c r="F27" s="27" t="n">
        <f>0.014</f>
        <v>0.014</v>
      </c>
      <c r="G27" s="25" t="n">
        <f>618015932050.0</f>
        <v>6.1801593205E11</v>
      </c>
      <c r="H27" s="26" t="n">
        <f>108365000.0</f>
        <v>1.08365E8</v>
      </c>
      <c r="I27" s="27" t="n">
        <f>0.023</f>
        <v>0.023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995.0</f>
        <v>995.0</v>
      </c>
      <c r="E28" s="18" t="n">
        <f>0.0</f>
        <v>0.0</v>
      </c>
      <c r="F28" s="19" t="n">
        <f>0.0</f>
        <v>0.0</v>
      </c>
      <c r="G28" s="17" t="n">
        <f>4214980500.0</f>
        <v>4.2149805E9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93.0</f>
        <v>93.0</v>
      </c>
      <c r="E29" s="22" t="n">
        <f>0.0</f>
        <v>0.0</v>
      </c>
      <c r="F29" s="23" t="n">
        <f>0.0</f>
        <v>0.0</v>
      </c>
      <c r="G29" s="21" t="n">
        <f>354893500.0</f>
        <v>3.548935E8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1546.0</f>
        <v>1546.0</v>
      </c>
      <c r="E30" s="22" t="n">
        <f>0.0</f>
        <v>0.0</v>
      </c>
      <c r="F30" s="23" t="n">
        <f>0.004</f>
        <v>0.004</v>
      </c>
      <c r="G30" s="21" t="n">
        <f>6689434500.0</f>
        <v>6.6894345E9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2634.0</f>
        <v>2634.0</v>
      </c>
      <c r="E31" s="26" t="n">
        <f>0.0</f>
        <v>0.0</v>
      </c>
      <c r="F31" s="27" t="n">
        <f>0.001</f>
        <v>0.001</v>
      </c>
      <c r="G31" s="25" t="n">
        <f>11259308500.0</f>
        <v>1.12593085E10</v>
      </c>
      <c r="H31" s="26" t="n">
        <f>0.0</f>
        <v>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46289.0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46289.0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140180</f>
        <v>140180.0</v>
      </c>
      <c r="E11" s="18" t="n">
        <f>17489</f>
        <v>17489.0</v>
      </c>
      <c r="F11" s="19" t="n">
        <f>1</f>
        <v>1.0</v>
      </c>
      <c r="G11" s="17" t="n">
        <f>12053275890</f>
        <v>1.205327589E10</v>
      </c>
      <c r="H11" s="18" t="n">
        <f>4538824890</f>
        <v>4.53882489E9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23060</f>
        <v>23060.0</v>
      </c>
      <c r="E12" s="22" t="n">
        <f>3564</f>
        <v>3564.0</v>
      </c>
      <c r="F12" s="23" t="n">
        <f>1</f>
        <v>1.0</v>
      </c>
      <c r="G12" s="21" t="n">
        <f>3210127021</f>
        <v>3.210127021E9</v>
      </c>
      <c r="H12" s="22" t="n">
        <f>1937741024</f>
        <v>1.937741024E9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52725</f>
        <v>52725.0</v>
      </c>
      <c r="E13" s="22" t="n">
        <f>17177</f>
        <v>17177.0</v>
      </c>
      <c r="F13" s="23" t="n">
        <f>1</f>
        <v>1.0</v>
      </c>
      <c r="G13" s="21" t="n">
        <f>14440291381</f>
        <v>1.4440291381E10</v>
      </c>
      <c r="H13" s="22" t="n">
        <f>12291868480</f>
        <v>1.229186848E10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215965</f>
        <v>215965.0</v>
      </c>
      <c r="E14" s="26" t="n">
        <f>38230</f>
        <v>38230.0</v>
      </c>
      <c r="F14" s="27" t="n">
        <f>1</f>
        <v>1.0</v>
      </c>
      <c r="G14" s="25" t="n">
        <f>29703694292</f>
        <v>2.9703694292E10</v>
      </c>
      <c r="H14" s="26" t="n">
        <f>18768434394</f>
        <v>1.8768434394E10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270</f>
        <v>270.0</v>
      </c>
      <c r="E15" s="18" t="n">
        <f>100</f>
        <v>100.0</v>
      </c>
      <c r="F15" s="19" t="n">
        <f>0.002</f>
        <v>0.002</v>
      </c>
      <c r="G15" s="17" t="n">
        <f>44420000</f>
        <v>4.442E7</v>
      </c>
      <c r="H15" s="18" t="n">
        <f>31000000</f>
        <v>3.1E7</v>
      </c>
      <c r="I15" s="19" t="n">
        <f>0.004</f>
        <v>0.004</v>
      </c>
    </row>
    <row r="16" spans="1:9" ht="24.9" customHeight="1">
      <c r="A16" s="41"/>
      <c r="B16" s="39"/>
      <c r="C16" s="20" t="s">
        <v>16</v>
      </c>
      <c r="D16" s="21" t="n">
        <f>184</f>
        <v>184.0</v>
      </c>
      <c r="E16" s="22" t="n">
        <f>0</f>
        <v>0.0</v>
      </c>
      <c r="F16" s="23" t="n">
        <f>0.008</f>
        <v>0.008</v>
      </c>
      <c r="G16" s="21" t="n">
        <f>25220000</f>
        <v>2.522E7</v>
      </c>
      <c r="H16" s="22" t="n">
        <f>0</f>
        <v>0.0</v>
      </c>
      <c r="I16" s="23" t="n">
        <f>0.008</f>
        <v>0.008</v>
      </c>
    </row>
    <row r="17" spans="1:9" ht="24.9" customHeight="1">
      <c r="A17" s="41"/>
      <c r="B17" s="39"/>
      <c r="C17" s="20" t="s">
        <v>17</v>
      </c>
      <c r="D17" s="21" t="n">
        <f>136</f>
        <v>136.0</v>
      </c>
      <c r="E17" s="22" t="n">
        <f>0</f>
        <v>0.0</v>
      </c>
      <c r="F17" s="23" t="n">
        <f>0.003</f>
        <v>0.003</v>
      </c>
      <c r="G17" s="21" t="n">
        <f>22260000</f>
        <v>2.226E7</v>
      </c>
      <c r="H17" s="22" t="n">
        <f>0</f>
        <v>0.0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590</f>
        <v>590.0</v>
      </c>
      <c r="E18" s="26" t="n">
        <f>100</f>
        <v>100.0</v>
      </c>
      <c r="F18" s="27" t="n">
        <f>0.003</f>
        <v>0.003</v>
      </c>
      <c r="G18" s="25" t="n">
        <f>91900000</f>
        <v>9.19E7</v>
      </c>
      <c r="H18" s="26" t="n">
        <f>31000000</f>
        <v>3.1E7</v>
      </c>
      <c r="I18" s="27" t="n">
        <f>0.003</f>
        <v>0.003</v>
      </c>
    </row>
    <row r="19" spans="1:9" ht="24.9" customHeight="1">
      <c r="A19" s="41"/>
      <c r="B19" s="39" t="s">
        <v>31</v>
      </c>
      <c r="C19" s="16" t="s">
        <v>15</v>
      </c>
      <c r="D19" s="17" t="n">
        <f>139910</f>
        <v>139910.0</v>
      </c>
      <c r="E19" s="18" t="n">
        <f>17389</f>
        <v>17389.0</v>
      </c>
      <c r="F19" s="19" t="n">
        <f>0.998</f>
        <v>0.998</v>
      </c>
      <c r="G19" s="17" t="n">
        <f>12008855890</f>
        <v>1.200885589E10</v>
      </c>
      <c r="H19" s="18" t="n">
        <f>4507824890</f>
        <v>4.50782489E9</v>
      </c>
      <c r="I19" s="19" t="n">
        <f>0.996</f>
        <v>0.996</v>
      </c>
    </row>
    <row r="20" spans="1:9" ht="24.9" customHeight="1">
      <c r="A20" s="41"/>
      <c r="B20" s="39"/>
      <c r="C20" s="20" t="s">
        <v>16</v>
      </c>
      <c r="D20" s="21" t="n">
        <f>21477</f>
        <v>21477.0</v>
      </c>
      <c r="E20" s="22" t="n">
        <f>3564</f>
        <v>3564.0</v>
      </c>
      <c r="F20" s="23" t="n">
        <f>0.931</f>
        <v>0.931</v>
      </c>
      <c r="G20" s="21" t="n">
        <f>3173917124</f>
        <v>3.173917124E9</v>
      </c>
      <c r="H20" s="22" t="n">
        <f>1937741024</f>
        <v>1.937741024E9</v>
      </c>
      <c r="I20" s="23" t="n">
        <f>0.989</f>
        <v>0.989</v>
      </c>
    </row>
    <row r="21" spans="1:9" ht="24.9" customHeight="1">
      <c r="A21" s="41"/>
      <c r="B21" s="39"/>
      <c r="C21" s="20" t="s">
        <v>17</v>
      </c>
      <c r="D21" s="21" t="n">
        <f>44020</f>
        <v>44020.0</v>
      </c>
      <c r="E21" s="22" t="n">
        <f>17177</f>
        <v>17177.0</v>
      </c>
      <c r="F21" s="23" t="n">
        <f>0.835</f>
        <v>0.835</v>
      </c>
      <c r="G21" s="21" t="n">
        <f>14398979180</f>
        <v>1.439897918E10</v>
      </c>
      <c r="H21" s="22" t="n">
        <f>12291868480</f>
        <v>1.229186848E10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205407</f>
        <v>205407.0</v>
      </c>
      <c r="E22" s="26" t="n">
        <f>38130</f>
        <v>38130.0</v>
      </c>
      <c r="F22" s="27" t="n">
        <f>0.951</f>
        <v>0.951</v>
      </c>
      <c r="G22" s="25" t="n">
        <f>29581752194</f>
        <v>2.9581752194E10</v>
      </c>
      <c r="H22" s="26" t="n">
        <f>18737434394</f>
        <v>1.8737434394E10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1399</f>
        <v>1399.0</v>
      </c>
      <c r="E24" s="22" t="n">
        <f>0</f>
        <v>0.0</v>
      </c>
      <c r="F24" s="23" t="n">
        <f>0.061</f>
        <v>0.061</v>
      </c>
      <c r="G24" s="21" t="n">
        <f>10989897</f>
        <v>1.0989897E7</v>
      </c>
      <c r="H24" s="22" t="n">
        <f>0</f>
        <v>0.0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8569</f>
        <v>8569.0</v>
      </c>
      <c r="E25" s="22" t="n">
        <f>0</f>
        <v>0.0</v>
      </c>
      <c r="F25" s="23" t="n">
        <f>0.163</f>
        <v>0.163</v>
      </c>
      <c r="G25" s="21" t="n">
        <f>19052201</f>
        <v>1.9052201E7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9968</f>
        <v>9968.0</v>
      </c>
      <c r="E26" s="26" t="n">
        <f>0</f>
        <v>0.0</v>
      </c>
      <c r="F26" s="27" t="n">
        <f>0.046</f>
        <v>0.046</v>
      </c>
      <c r="G26" s="25" t="n">
        <f>30042098</f>
        <v>3.0042098E7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46289.0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46289.0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34906.0</v>
      </c>
      <c r="F12" s="18" t="n">
        <f>3212</f>
        <v>3212.0</v>
      </c>
      <c r="G12" s="17" t="n">
        <v>2.3030419689E12</v>
      </c>
      <c r="H12" s="18" t="n">
        <f>211178368900</f>
        <v>2.111783689E11</v>
      </c>
    </row>
    <row r="13" spans="1:8" ht="24.9" customHeight="1">
      <c r="A13" s="51"/>
      <c r="B13" s="57"/>
      <c r="C13" s="39"/>
      <c r="D13" s="20" t="s">
        <v>16</v>
      </c>
      <c r="E13" s="21" t="n">
        <v>7250.0</v>
      </c>
      <c r="F13" s="22" t="n">
        <f>413</f>
        <v>413.0</v>
      </c>
      <c r="G13" s="21" t="n">
        <v>4.774884343E11</v>
      </c>
      <c r="H13" s="22" t="n">
        <f>27224754300</f>
        <v>2.72247543E10</v>
      </c>
    </row>
    <row r="14" spans="1:8" ht="24.9" customHeight="1">
      <c r="A14" s="51"/>
      <c r="B14" s="57"/>
      <c r="C14" s="39"/>
      <c r="D14" s="20" t="s">
        <v>17</v>
      </c>
      <c r="E14" s="21" t="n">
        <v>13020.0</v>
      </c>
      <c r="F14" s="22" t="n">
        <f>3556</f>
        <v>3556.0</v>
      </c>
      <c r="G14" s="21" t="n">
        <v>8.53400782715E11</v>
      </c>
      <c r="H14" s="22" t="n">
        <f>232814432715</f>
        <v>2.32814432715E11</v>
      </c>
    </row>
    <row r="15" spans="1:8" ht="24.9" customHeight="1">
      <c r="A15" s="51"/>
      <c r="B15" s="57"/>
      <c r="C15" s="39"/>
      <c r="D15" s="24" t="s">
        <v>18</v>
      </c>
      <c r="E15" s="25" t="n">
        <v>55176.0</v>
      </c>
      <c r="F15" s="26" t="n">
        <f>7181</f>
        <v>7181.0</v>
      </c>
      <c r="G15" s="25" t="n">
        <v>3.633931185915E12</v>
      </c>
      <c r="H15" s="26" t="n">
        <f>471217555915</f>
        <v>4.71217555915E11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1182365.0</v>
      </c>
      <c r="F16" s="18" t="n">
        <f>180980</f>
        <v>180980.0</v>
      </c>
      <c r="G16" s="17" t="n">
        <v>7.80449033752E12</v>
      </c>
      <c r="H16" s="18" t="n">
        <f>1194671933020</f>
        <v>1.19467193302E12</v>
      </c>
    </row>
    <row r="17" spans="1:8" ht="24.9" customHeight="1">
      <c r="A17" s="51"/>
      <c r="B17" s="57"/>
      <c r="C17" s="39"/>
      <c r="D17" s="20" t="s">
        <v>16</v>
      </c>
      <c r="E17" s="21" t="n">
        <v>150058.0</v>
      </c>
      <c r="F17" s="22" t="n">
        <f>14927</f>
        <v>14927.0</v>
      </c>
      <c r="G17" s="21" t="n">
        <v>9.8785908926E11</v>
      </c>
      <c r="H17" s="22" t="n">
        <f>98254784260</f>
        <v>9.825478426E10</v>
      </c>
    </row>
    <row r="18" spans="1:8" ht="24.9" customHeight="1">
      <c r="A18" s="51"/>
      <c r="B18" s="57"/>
      <c r="C18" s="39"/>
      <c r="D18" s="20" t="s">
        <v>17</v>
      </c>
      <c r="E18" s="21" t="n">
        <v>135588.0</v>
      </c>
      <c r="F18" s="22" t="n">
        <f>14742</f>
        <v>14742.0</v>
      </c>
      <c r="G18" s="21" t="n">
        <v>8.8938431682E11</v>
      </c>
      <c r="H18" s="22" t="n">
        <f>96668416820</f>
        <v>9.666841682E10</v>
      </c>
    </row>
    <row r="19" spans="1:8" ht="24.9" customHeight="1">
      <c r="A19" s="51"/>
      <c r="B19" s="57"/>
      <c r="C19" s="39"/>
      <c r="D19" s="24" t="s">
        <v>18</v>
      </c>
      <c r="E19" s="25" t="n">
        <v>1468011.0</v>
      </c>
      <c r="F19" s="26" t="n">
        <f>210649</f>
        <v>210649.0</v>
      </c>
      <c r="G19" s="25" t="n">
        <v>9.6817337436E12</v>
      </c>
      <c r="H19" s="26" t="n">
        <f>1389595134100</f>
        <v>1.3895951341E12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2131291.0</v>
      </c>
      <c r="F20" s="18" t="str">
        <f>"－"</f>
        <v>－</v>
      </c>
      <c r="G20" s="17" t="n">
        <v>1.40730311105E12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188956.0</v>
      </c>
      <c r="F21" s="22" t="str">
        <f>"－"</f>
        <v>－</v>
      </c>
      <c r="G21" s="21" t="n">
        <v>1.2438429085E11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169351.0</v>
      </c>
      <c r="F22" s="22" t="str">
        <f>"－"</f>
        <v>－</v>
      </c>
      <c r="G22" s="21" t="n">
        <v>1.1109202675E11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2489598.0</v>
      </c>
      <c r="F23" s="26" t="str">
        <f>"－"</f>
        <v>－</v>
      </c>
      <c r="G23" s="25" t="n">
        <v>1.64277942865E12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52742.0</v>
      </c>
      <c r="F24" s="18" t="n">
        <f>214</f>
        <v>214.0</v>
      </c>
      <c r="G24" s="17" t="n">
        <v>2.1671069585E12</v>
      </c>
      <c r="H24" s="18" t="n">
        <f>8794273500</f>
        <v>8.7942735E9</v>
      </c>
    </row>
    <row r="25" spans="1:8" ht="24.9" customHeight="1">
      <c r="A25" s="51"/>
      <c r="B25" s="57"/>
      <c r="C25" s="39"/>
      <c r="D25" s="20" t="s">
        <v>16</v>
      </c>
      <c r="E25" s="21" t="n">
        <v>21692.0</v>
      </c>
      <c r="F25" s="22" t="n">
        <f>581</f>
        <v>581.0</v>
      </c>
      <c r="G25" s="21" t="n">
        <v>8.84793565E11</v>
      </c>
      <c r="H25" s="22" t="n">
        <f>23735625000</f>
        <v>2.3735625E10</v>
      </c>
    </row>
    <row r="26" spans="1:8" ht="24.9" customHeight="1">
      <c r="A26" s="51"/>
      <c r="B26" s="57"/>
      <c r="C26" s="39"/>
      <c r="D26" s="20" t="s">
        <v>17</v>
      </c>
      <c r="E26" s="21" t="n">
        <v>33470.0</v>
      </c>
      <c r="F26" s="22" t="n">
        <f>6689</f>
        <v>6689.0</v>
      </c>
      <c r="G26" s="21" t="n">
        <v>1.360113100515E12</v>
      </c>
      <c r="H26" s="22" t="n">
        <f>271510190515</f>
        <v>2.71510190515E11</v>
      </c>
    </row>
    <row r="27" spans="1:8" ht="24.9" customHeight="1">
      <c r="A27" s="51"/>
      <c r="B27" s="57"/>
      <c r="C27" s="39"/>
      <c r="D27" s="24" t="s">
        <v>18</v>
      </c>
      <c r="E27" s="25" t="n">
        <v>107904.0</v>
      </c>
      <c r="F27" s="26" t="n">
        <f>7484</f>
        <v>7484.0</v>
      </c>
      <c r="G27" s="25" t="n">
        <v>4.412013624015E12</v>
      </c>
      <c r="H27" s="26" t="n">
        <f>304040089015</f>
        <v>3.04040089015E11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35616.0</v>
      </c>
      <c r="F28" s="18" t="n">
        <f>2305</f>
        <v>2305.0</v>
      </c>
      <c r="G28" s="17" t="n">
        <v>1.46407313E11</v>
      </c>
      <c r="H28" s="18" t="n">
        <f>9479551500</f>
        <v>9.4795515E9</v>
      </c>
    </row>
    <row r="29" spans="1:8" ht="24.9" customHeight="1">
      <c r="A29" s="51"/>
      <c r="B29" s="57"/>
      <c r="C29" s="39"/>
      <c r="D29" s="20" t="s">
        <v>16</v>
      </c>
      <c r="E29" s="21" t="n">
        <v>8309.0</v>
      </c>
      <c r="F29" s="22" t="n">
        <f>275</f>
        <v>275.0</v>
      </c>
      <c r="G29" s="21" t="n">
        <v>3.389549705E10</v>
      </c>
      <c r="H29" s="22" t="n">
        <f>1122024800</f>
        <v>1.1220248E9</v>
      </c>
    </row>
    <row r="30" spans="1:8" ht="24.9" customHeight="1">
      <c r="A30" s="51"/>
      <c r="B30" s="57"/>
      <c r="C30" s="39"/>
      <c r="D30" s="20" t="s">
        <v>17</v>
      </c>
      <c r="E30" s="21" t="n">
        <v>7075.0</v>
      </c>
      <c r="F30" s="22" t="n">
        <f>303</f>
        <v>303.0</v>
      </c>
      <c r="G30" s="21" t="n">
        <v>2.875283175E10</v>
      </c>
      <c r="H30" s="22" t="n">
        <f>1230190000</f>
        <v>1.23019E9</v>
      </c>
    </row>
    <row r="31" spans="1:8" ht="24.9" customHeight="1">
      <c r="A31" s="51"/>
      <c r="B31" s="57"/>
      <c r="C31" s="39"/>
      <c r="D31" s="24" t="s">
        <v>18</v>
      </c>
      <c r="E31" s="25" t="n">
        <v>51000.0</v>
      </c>
      <c r="F31" s="26" t="n">
        <f>2883</f>
        <v>2883.0</v>
      </c>
      <c r="G31" s="25" t="n">
        <v>2.090556418E11</v>
      </c>
      <c r="H31" s="26" t="n">
        <f>11831766300</f>
        <v>1.18317663E10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2308.0</v>
      </c>
      <c r="F36" s="18" t="n">
        <f>7</f>
        <v>7.0</v>
      </c>
      <c r="G36" s="17" t="n">
        <v>8.50139248E9</v>
      </c>
      <c r="H36" s="18" t="n">
        <f>25798980</f>
        <v>2.579898E7</v>
      </c>
    </row>
    <row r="37" spans="1:8" ht="24.9" customHeight="1">
      <c r="A37" s="51"/>
      <c r="B37" s="57"/>
      <c r="C37" s="39"/>
      <c r="D37" s="20" t="s">
        <v>16</v>
      </c>
      <c r="E37" s="21" t="n">
        <v>1733.0</v>
      </c>
      <c r="F37" s="22" t="n">
        <f>1</f>
        <v>1.0</v>
      </c>
      <c r="G37" s="21" t="n">
        <v>6.34238299E9</v>
      </c>
      <c r="H37" s="22" t="n">
        <f>3659990</f>
        <v>3659990.0</v>
      </c>
    </row>
    <row r="38" spans="1:8" ht="24.9" customHeight="1">
      <c r="A38" s="51"/>
      <c r="B38" s="57"/>
      <c r="C38" s="39"/>
      <c r="D38" s="20" t="s">
        <v>17</v>
      </c>
      <c r="E38" s="21" t="n">
        <v>753.0</v>
      </c>
      <c r="F38" s="22" t="n">
        <f>37</f>
        <v>37.0</v>
      </c>
      <c r="G38" s="21" t="n">
        <v>2.747544533E9</v>
      </c>
      <c r="H38" s="22" t="n">
        <f>134971533</f>
        <v>1.34971533E8</v>
      </c>
    </row>
    <row r="39" spans="1:8" ht="24.9" customHeight="1">
      <c r="A39" s="51"/>
      <c r="B39" s="57"/>
      <c r="C39" s="39"/>
      <c r="D39" s="24" t="s">
        <v>18</v>
      </c>
      <c r="E39" s="25" t="n">
        <v>4794.0</v>
      </c>
      <c r="F39" s="26" t="n">
        <f>45</f>
        <v>45.0</v>
      </c>
      <c r="G39" s="25" t="n">
        <v>1.7591320003E10</v>
      </c>
      <c r="H39" s="26" t="n">
        <f>164430503</f>
        <v>1.64430503E8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11.0</v>
      </c>
      <c r="F44" s="18" t="n">
        <f>11</f>
        <v>11.0</v>
      </c>
      <c r="G44" s="17" t="n">
        <v>8.261E7</v>
      </c>
      <c r="H44" s="18" t="n">
        <f>82610000</f>
        <v>8.261E7</v>
      </c>
    </row>
    <row r="45" spans="1:8" ht="24.9" customHeight="1">
      <c r="A45" s="51"/>
      <c r="B45" s="57"/>
      <c r="C45" s="39"/>
      <c r="D45" s="20" t="s">
        <v>16</v>
      </c>
      <c r="E45" s="21" t="n">
        <v>250.0</v>
      </c>
      <c r="F45" s="22" t="n">
        <f>250</f>
        <v>250.0</v>
      </c>
      <c r="G45" s="21" t="n">
        <v>1.85575E9</v>
      </c>
      <c r="H45" s="22" t="n">
        <f>1855750000</f>
        <v>1.85575E9</v>
      </c>
    </row>
    <row r="46" spans="1:8" ht="24.9" customHeight="1">
      <c r="A46" s="51"/>
      <c r="B46" s="57"/>
      <c r="C46" s="39"/>
      <c r="D46" s="20" t="s">
        <v>17</v>
      </c>
      <c r="E46" s="21" t="n">
        <v>587.0</v>
      </c>
      <c r="F46" s="22" t="n">
        <f>587</f>
        <v>587.0</v>
      </c>
      <c r="G46" s="21" t="n">
        <v>4.354696362E9</v>
      </c>
      <c r="H46" s="22" t="n">
        <f>4354696362</f>
        <v>4.354696362E9</v>
      </c>
    </row>
    <row r="47" spans="1:8" ht="24.9" customHeight="1">
      <c r="A47" s="51"/>
      <c r="B47" s="57"/>
      <c r="C47" s="39"/>
      <c r="D47" s="24" t="s">
        <v>18</v>
      </c>
      <c r="E47" s="25" t="n">
        <v>848.0</v>
      </c>
      <c r="F47" s="26" t="n">
        <f>848</f>
        <v>848.0</v>
      </c>
      <c r="G47" s="25" t="n">
        <v>6.293056362E9</v>
      </c>
      <c r="H47" s="26" t="n">
        <f>6293056362</f>
        <v>6.293056362E9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54.0</v>
      </c>
      <c r="F48" s="18" t="n">
        <f>50</f>
        <v>50.0</v>
      </c>
      <c r="G48" s="17" t="n">
        <v>9.396E7</v>
      </c>
      <c r="H48" s="18" t="n">
        <f>87015000</f>
        <v>8.7015E7</v>
      </c>
    </row>
    <row r="49" spans="1:8" ht="24.9" customHeight="1">
      <c r="A49" s="51"/>
      <c r="B49" s="57"/>
      <c r="C49" s="39"/>
      <c r="D49" s="20" t="s">
        <v>16</v>
      </c>
      <c r="E49" s="21" t="n">
        <v>85.0</v>
      </c>
      <c r="F49" s="22" t="n">
        <f>0</f>
        <v>0.0</v>
      </c>
      <c r="G49" s="21" t="n">
        <v>1.47084E8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67.0</v>
      </c>
      <c r="F50" s="22" t="n">
        <f>0</f>
        <v>0.0</v>
      </c>
      <c r="G50" s="21" t="n">
        <v>1.160935E8</v>
      </c>
      <c r="H50" s="22" t="n">
        <f>0</f>
        <v>0.0</v>
      </c>
    </row>
    <row r="51" spans="1:8" ht="24.9" customHeight="1">
      <c r="A51" s="51"/>
      <c r="B51" s="57"/>
      <c r="C51" s="39"/>
      <c r="D51" s="24" t="s">
        <v>18</v>
      </c>
      <c r="E51" s="25" t="n">
        <v>206.0</v>
      </c>
      <c r="F51" s="26" t="n">
        <f>50</f>
        <v>50.0</v>
      </c>
      <c r="G51" s="25" t="n">
        <v>3.571375E8</v>
      </c>
      <c r="H51" s="26" t="n">
        <f>87015000</f>
        <v>8.7015E7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1904.0</v>
      </c>
      <c r="F56" s="18" t="n">
        <f>39</f>
        <v>39.0</v>
      </c>
      <c r="G56" s="17" t="n">
        <v>1.5254514E9</v>
      </c>
      <c r="H56" s="18" t="n">
        <f>31179400</f>
        <v>3.11794E7</v>
      </c>
    </row>
    <row r="57" spans="1:8" ht="24.9" customHeight="1">
      <c r="A57" s="51"/>
      <c r="B57" s="57"/>
      <c r="C57" s="39"/>
      <c r="D57" s="20" t="s">
        <v>16</v>
      </c>
      <c r="E57" s="21" t="n">
        <v>1001.0</v>
      </c>
      <c r="F57" s="22" t="n">
        <f>15</f>
        <v>15.0</v>
      </c>
      <c r="G57" s="21" t="n">
        <v>8.026618E8</v>
      </c>
      <c r="H57" s="22" t="n">
        <f>12044800</f>
        <v>1.20448E7</v>
      </c>
    </row>
    <row r="58" spans="1:8" ht="24.9" customHeight="1">
      <c r="A58" s="51"/>
      <c r="B58" s="57"/>
      <c r="C58" s="39"/>
      <c r="D58" s="20" t="s">
        <v>17</v>
      </c>
      <c r="E58" s="21" t="n">
        <v>912.0</v>
      </c>
      <c r="F58" s="22" t="n">
        <f>27</f>
        <v>27.0</v>
      </c>
      <c r="G58" s="21" t="n">
        <v>7.2977622E8</v>
      </c>
      <c r="H58" s="22" t="n">
        <f>21635220</f>
        <v>2.163522E7</v>
      </c>
    </row>
    <row r="59" spans="1:8" ht="24.9" customHeight="1">
      <c r="A59" s="51"/>
      <c r="B59" s="57"/>
      <c r="C59" s="39"/>
      <c r="D59" s="24" t="s">
        <v>18</v>
      </c>
      <c r="E59" s="25" t="n">
        <v>3817.0</v>
      </c>
      <c r="F59" s="26" t="n">
        <f>81</f>
        <v>81.0</v>
      </c>
      <c r="G59" s="25" t="n">
        <v>3.05788942E9</v>
      </c>
      <c r="H59" s="26" t="n">
        <f>64859420</f>
        <v>6.485942E7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864.0</v>
      </c>
      <c r="F60" s="18" t="n">
        <f>31</f>
        <v>31.0</v>
      </c>
      <c r="G60" s="17" t="n">
        <v>4.5136997E9</v>
      </c>
      <c r="H60" s="18" t="n">
        <f>161884400</f>
        <v>1.618844E8</v>
      </c>
    </row>
    <row r="61" spans="1:8" ht="24.9" customHeight="1">
      <c r="A61" s="51"/>
      <c r="B61" s="57"/>
      <c r="C61" s="39"/>
      <c r="D61" s="20" t="s">
        <v>16</v>
      </c>
      <c r="E61" s="21" t="n">
        <v>51.0</v>
      </c>
      <c r="F61" s="22" t="n">
        <f>1</f>
        <v>1.0</v>
      </c>
      <c r="G61" s="21" t="n">
        <v>2.643394E8</v>
      </c>
      <c r="H61" s="22" t="n">
        <f>5184900</f>
        <v>5184900.0</v>
      </c>
    </row>
    <row r="62" spans="1:8" ht="24.9" customHeight="1">
      <c r="A62" s="51"/>
      <c r="B62" s="57"/>
      <c r="C62" s="39"/>
      <c r="D62" s="20" t="s">
        <v>17</v>
      </c>
      <c r="E62" s="21" t="n">
        <v>44.0</v>
      </c>
      <c r="F62" s="22" t="n">
        <f>2</f>
        <v>2.0</v>
      </c>
      <c r="G62" s="21" t="n">
        <v>2.2773039E8</v>
      </c>
      <c r="H62" s="22" t="n">
        <f>10339290</f>
        <v>1.033929E7</v>
      </c>
    </row>
    <row r="63" spans="1:8" ht="24.9" customHeight="1">
      <c r="A63" s="51"/>
      <c r="B63" s="57"/>
      <c r="C63" s="39"/>
      <c r="D63" s="24" t="s">
        <v>18</v>
      </c>
      <c r="E63" s="25" t="n">
        <v>959.0</v>
      </c>
      <c r="F63" s="26" t="n">
        <f>34</f>
        <v>34.0</v>
      </c>
      <c r="G63" s="25" t="n">
        <v>5.00576949E9</v>
      </c>
      <c r="H63" s="26" t="n">
        <f>177408590</f>
        <v>1.7740859E8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4.0</v>
      </c>
      <c r="F76" s="18" t="n">
        <f>0</f>
        <v>0.0</v>
      </c>
      <c r="G76" s="17" t="n">
        <v>1195000.0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9.0</v>
      </c>
      <c r="F77" s="22" t="n">
        <f>0</f>
        <v>0.0</v>
      </c>
      <c r="G77" s="21" t="n">
        <v>2695500.0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4.0</v>
      </c>
      <c r="F78" s="22" t="n">
        <f>0</f>
        <v>0.0</v>
      </c>
      <c r="G78" s="21" t="n">
        <v>1160000.0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17.0</v>
      </c>
      <c r="F79" s="26" t="n">
        <f>0</f>
        <v>0.0</v>
      </c>
      <c r="G79" s="25" t="n">
        <v>5050500.0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1108.0</v>
      </c>
      <c r="F92" s="18" t="n">
        <f>0</f>
        <v>0.0</v>
      </c>
      <c r="G92" s="17" t="n">
        <v>1.7310158E9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23.0</v>
      </c>
      <c r="F93" s="22" t="n">
        <f>0</f>
        <v>0.0</v>
      </c>
      <c r="G93" s="21" t="n">
        <v>3.611E7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21.0</v>
      </c>
      <c r="F94" s="22" t="n">
        <f>0</f>
        <v>0.0</v>
      </c>
      <c r="G94" s="21" t="n">
        <v>3.30264E7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1152.0</v>
      </c>
      <c r="F95" s="26" t="n">
        <f>0</f>
        <v>0.0</v>
      </c>
      <c r="G95" s="25" t="n">
        <v>1.8001522E9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204.0</v>
      </c>
      <c r="F96" s="18" t="n">
        <f>0</f>
        <v>0.0</v>
      </c>
      <c r="G96" s="17" t="n">
        <v>4.795137E8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2.0</v>
      </c>
      <c r="F97" s="22" t="n">
        <f>0</f>
        <v>0.0</v>
      </c>
      <c r="G97" s="21" t="n">
        <v>4706000.0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206.0</v>
      </c>
      <c r="F99" s="26" t="n">
        <f>0</f>
        <v>0.0</v>
      </c>
      <c r="G99" s="25" t="n">
        <v>4.842197E8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210.0</v>
      </c>
      <c r="F100" s="18" t="n">
        <f>0</f>
        <v>0.0</v>
      </c>
      <c r="G100" s="17" t="n">
        <v>3.77495E8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210.0</v>
      </c>
      <c r="F103" s="26" t="n">
        <f>0</f>
        <v>0.0</v>
      </c>
      <c r="G103" s="25" t="n">
        <v>3.77495E8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14313.0</v>
      </c>
      <c r="F108" s="18" t="n">
        <f>480</f>
        <v>480.0</v>
      </c>
      <c r="G108" s="17" t="n">
        <v>1.7907254E12</v>
      </c>
      <c r="H108" s="18" t="n">
        <f>60113680000</f>
        <v>6.011368E10</v>
      </c>
    </row>
    <row r="109" spans="1:8" ht="24.9" customHeight="1">
      <c r="A109" s="51"/>
      <c r="B109" s="57"/>
      <c r="C109" s="39"/>
      <c r="D109" s="20" t="s">
        <v>16</v>
      </c>
      <c r="E109" s="21" t="n">
        <v>19730.0</v>
      </c>
      <c r="F109" s="22" t="n">
        <f>655</f>
        <v>655.0</v>
      </c>
      <c r="G109" s="21" t="n">
        <v>2.45954933E12</v>
      </c>
      <c r="H109" s="22" t="n">
        <f>81677790000</f>
        <v>8.167779E10</v>
      </c>
    </row>
    <row r="110" spans="1:8" ht="24.9" customHeight="1">
      <c r="A110" s="51"/>
      <c r="B110" s="57"/>
      <c r="C110" s="39"/>
      <c r="D110" s="20" t="s">
        <v>17</v>
      </c>
      <c r="E110" s="21" t="n">
        <v>20516.0</v>
      </c>
      <c r="F110" s="22" t="n">
        <f>998</f>
        <v>998.0</v>
      </c>
      <c r="G110" s="21" t="n">
        <v>2.55358059E12</v>
      </c>
      <c r="H110" s="22" t="n">
        <f>124221120000</f>
        <v>1.2422112E11</v>
      </c>
    </row>
    <row r="111" spans="1:8" ht="24.9" customHeight="1">
      <c r="A111" s="51"/>
      <c r="B111" s="57"/>
      <c r="C111" s="39"/>
      <c r="D111" s="24" t="s">
        <v>18</v>
      </c>
      <c r="E111" s="25" t="n">
        <v>54559.0</v>
      </c>
      <c r="F111" s="26" t="n">
        <f>2133</f>
        <v>2133.0</v>
      </c>
      <c r="G111" s="25" t="n">
        <v>6.80385532E12</v>
      </c>
      <c r="H111" s="26" t="n">
        <f>266012590000</f>
        <v>2.6601259E11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3125.0</v>
      </c>
      <c r="F113" s="22" t="n">
        <f>0</f>
        <v>0.0</v>
      </c>
      <c r="G113" s="21" t="n">
        <v>3.8960579E10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2112.0</v>
      </c>
      <c r="F114" s="22" t="n">
        <f>0</f>
        <v>0.0</v>
      </c>
      <c r="G114" s="21" t="n">
        <v>2.6290241E10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5237.0</v>
      </c>
      <c r="F115" s="26" t="n">
        <f>0</f>
        <v>0.0</v>
      </c>
      <c r="G115" s="25" t="n">
        <v>6.525082E10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100.0</v>
      </c>
      <c r="F118" s="22" t="n">
        <f>0</f>
        <v>0.0</v>
      </c>
      <c r="G118" s="21" t="n">
        <v>8.7945E8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100.0</v>
      </c>
      <c r="F119" s="26" t="n">
        <f>0</f>
        <v>0.0</v>
      </c>
      <c r="G119" s="25" t="n">
        <v>8.7945E8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4708.0</v>
      </c>
      <c r="F120" s="18" t="n">
        <f>0</f>
        <v>0.0</v>
      </c>
      <c r="G120" s="17" t="n">
        <v>1.1580795125E11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652.0</v>
      </c>
      <c r="F121" s="22" t="n">
        <f>0</f>
        <v>0.0</v>
      </c>
      <c r="G121" s="21" t="n">
        <v>1.6090824375E10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198.0</v>
      </c>
      <c r="F122" s="22" t="n">
        <f>0</f>
        <v>0.0</v>
      </c>
      <c r="G122" s="21" t="n">
        <v>4.8719275E9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5558.0</v>
      </c>
      <c r="F123" s="26" t="n">
        <f>0</f>
        <v>0.0</v>
      </c>
      <c r="G123" s="25" t="n">
        <v>1.36770703125E11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18005.0</v>
      </c>
      <c r="F124" s="18" t="n">
        <f>0</f>
        <v>0.0</v>
      </c>
      <c r="G124" s="17" t="n">
        <v>4.06820344E11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2409.0</v>
      </c>
      <c r="F125" s="22" t="n">
        <f>0</f>
        <v>0.0</v>
      </c>
      <c r="G125" s="21" t="n">
        <v>5.3971176E10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2966.0</v>
      </c>
      <c r="F126" s="22" t="n">
        <f>0</f>
        <v>0.0</v>
      </c>
      <c r="G126" s="21" t="n">
        <v>6.6253809E10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23380.0</v>
      </c>
      <c r="F127" s="26" t="n">
        <f>0</f>
        <v>0.0</v>
      </c>
      <c r="G127" s="25" t="n">
        <v>5.27045329E11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322.0</v>
      </c>
      <c r="F128" s="18" t="n">
        <f>0</f>
        <v>0.0</v>
      </c>
      <c r="G128" s="17" t="n">
        <v>7.19808E8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16.0</v>
      </c>
      <c r="F129" s="22" t="n">
        <f>0</f>
        <v>0.0</v>
      </c>
      <c r="G129" s="21" t="n">
        <v>3.54411E7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104.0</v>
      </c>
      <c r="F130" s="22" t="n">
        <f>0</f>
        <v>0.0</v>
      </c>
      <c r="G130" s="21" t="n">
        <v>2.297645E8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442.0</v>
      </c>
      <c r="F131" s="26" t="n">
        <f>0</f>
        <v>0.0</v>
      </c>
      <c r="G131" s="25" t="n">
        <v>9.850136E8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18313.0</v>
      </c>
      <c r="F132" s="18" t="n">
        <f>0</f>
        <v>0.0</v>
      </c>
      <c r="G132" s="17" t="n">
        <v>4.15234302E10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1914.0</v>
      </c>
      <c r="F133" s="22" t="n">
        <f>0</f>
        <v>0.0</v>
      </c>
      <c r="G133" s="21" t="n">
        <v>4.2993833E9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2885.0</v>
      </c>
      <c r="F134" s="22" t="n">
        <f>0</f>
        <v>0.0</v>
      </c>
      <c r="G134" s="21" t="n">
        <v>6.4654053E9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23112.0</v>
      </c>
      <c r="F135" s="26" t="n">
        <f>0</f>
        <v>0.0</v>
      </c>
      <c r="G135" s="25" t="n">
        <v>5.22882188E10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202.0</v>
      </c>
      <c r="F136" s="18" t="n">
        <f>0</f>
        <v>0.0</v>
      </c>
      <c r="G136" s="17" t="n">
        <v>4.46175E8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5.0</v>
      </c>
      <c r="F137" s="22" t="n">
        <f>0</f>
        <v>0.0</v>
      </c>
      <c r="G137" s="21" t="n">
        <v>1.09178E7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51.0</v>
      </c>
      <c r="F138" s="22" t="n">
        <f>0</f>
        <v>0.0</v>
      </c>
      <c r="G138" s="21" t="n">
        <v>1.114021E8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258.0</v>
      </c>
      <c r="F139" s="26" t="n">
        <f>0</f>
        <v>0.0</v>
      </c>
      <c r="G139" s="25" t="n">
        <v>5.684949E8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4316.0</v>
      </c>
      <c r="F144" s="18" t="n">
        <f>0</f>
        <v>0.0</v>
      </c>
      <c r="G144" s="17" t="n">
        <v>1.92345265E10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739.0</v>
      </c>
      <c r="F145" s="22" t="n">
        <f>0</f>
        <v>0.0</v>
      </c>
      <c r="G145" s="21" t="n">
        <v>3.220775E9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662.0</v>
      </c>
      <c r="F146" s="22" t="n">
        <f>0</f>
        <v>0.0</v>
      </c>
      <c r="G146" s="21" t="n">
        <v>2.8858125E9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5717.0</v>
      </c>
      <c r="F147" s="26" t="n">
        <f>0</f>
        <v>0.0</v>
      </c>
      <c r="G147" s="25" t="n">
        <v>2.5341114E10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361.0</v>
      </c>
      <c r="F148" s="18" t="n">
        <f>0</f>
        <v>0.0</v>
      </c>
      <c r="G148" s="17" t="n">
        <v>3.306213E8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183.0</v>
      </c>
      <c r="F149" s="22" t="n">
        <f>0</f>
        <v>0.0</v>
      </c>
      <c r="G149" s="21" t="n">
        <v>1.639305E8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327.0</v>
      </c>
      <c r="F150" s="22" t="n">
        <f>0</f>
        <v>0.0</v>
      </c>
      <c r="G150" s="21" t="n">
        <v>2.935174E8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871.0</v>
      </c>
      <c r="F151" s="26" t="n">
        <f>0</f>
        <v>0.0</v>
      </c>
      <c r="G151" s="25" t="n">
        <v>7.880692E8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1162.0</v>
      </c>
      <c r="F152" s="18" t="n">
        <f>0</f>
        <v>0.0</v>
      </c>
      <c r="G152" s="17" t="n">
        <v>1.03810015E9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138.0</v>
      </c>
      <c r="F153" s="22" t="n">
        <f>0</f>
        <v>0.0</v>
      </c>
      <c r="G153" s="21" t="n">
        <v>1.2063595E8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127.0</v>
      </c>
      <c r="F154" s="22" t="n">
        <f>0</f>
        <v>0.0</v>
      </c>
      <c r="G154" s="21" t="n">
        <v>1.1091635E8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1427.0</v>
      </c>
      <c r="F155" s="26" t="n">
        <f>0</f>
        <v>0.0</v>
      </c>
      <c r="G155" s="25" t="n">
        <v>1.26965245E9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304.0</v>
      </c>
      <c r="F156" s="18" t="n">
        <f>0</f>
        <v>0.0</v>
      </c>
      <c r="G156" s="17" t="n">
        <v>2.738132E8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244.0</v>
      </c>
      <c r="F157" s="22" t="n">
        <f>0</f>
        <v>0.0</v>
      </c>
      <c r="G157" s="21" t="n">
        <v>2.147809E8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493.0</v>
      </c>
      <c r="F158" s="22" t="n">
        <f>0</f>
        <v>0.0</v>
      </c>
      <c r="G158" s="21" t="n">
        <v>4.3426E8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1041.0</v>
      </c>
      <c r="F159" s="26" t="n">
        <f>0</f>
        <v>0.0</v>
      </c>
      <c r="G159" s="25" t="n">
        <v>9.228541E8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1813.0</v>
      </c>
      <c r="F168" s="18" t="n">
        <f>0</f>
        <v>0.0</v>
      </c>
      <c r="G168" s="17" t="n">
        <v>3.96972E9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848.0</v>
      </c>
      <c r="F169" s="22" t="n">
        <f>13</f>
        <v>13.0</v>
      </c>
      <c r="G169" s="21" t="n">
        <v>1.9058995E9</v>
      </c>
      <c r="H169" s="22" t="n">
        <f>28470000</f>
        <v>2.847E7</v>
      </c>
    </row>
    <row r="170" spans="1:8" ht="24.9" customHeight="1">
      <c r="A170" s="51"/>
      <c r="B170" s="57"/>
      <c r="C170" s="39"/>
      <c r="D170" s="20" t="s">
        <v>17</v>
      </c>
      <c r="E170" s="21" t="n">
        <v>1270.0</v>
      </c>
      <c r="F170" s="22" t="n">
        <f>35</f>
        <v>35.0</v>
      </c>
      <c r="G170" s="21" t="n">
        <v>2.8619065E9</v>
      </c>
      <c r="H170" s="22" t="n">
        <f>79895000</f>
        <v>7.9895E7</v>
      </c>
    </row>
    <row r="171" spans="1:8" ht="24.9" customHeight="1">
      <c r="A171" s="51"/>
      <c r="B171" s="57"/>
      <c r="C171" s="39"/>
      <c r="D171" s="24" t="s">
        <v>18</v>
      </c>
      <c r="E171" s="25" t="n">
        <v>3931.0</v>
      </c>
      <c r="F171" s="26" t="n">
        <f>48</f>
        <v>48.0</v>
      </c>
      <c r="G171" s="25" t="n">
        <v>8.737526E9</v>
      </c>
      <c r="H171" s="26" t="n">
        <f>108365000</f>
        <v>1.08365E8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7624000.0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32.0</v>
      </c>
      <c r="F178" s="22" t="n">
        <f>0</f>
        <v>0.0</v>
      </c>
      <c r="G178" s="21" t="n">
        <v>6.2036E7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36.0</v>
      </c>
      <c r="F179" s="26" t="n">
        <f>0</f>
        <v>0.0</v>
      </c>
      <c r="G179" s="25" t="n">
        <v>6.966E7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995.0</v>
      </c>
      <c r="F204" s="18" t="n">
        <f>0</f>
        <v>0.0</v>
      </c>
      <c r="G204" s="17" t="n">
        <v>4.2149805E9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78.0</v>
      </c>
      <c r="F205" s="22" t="n">
        <f>0</f>
        <v>0.0</v>
      </c>
      <c r="G205" s="21" t="n">
        <v>3.311335E8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1546.0</v>
      </c>
      <c r="F206" s="22" t="n">
        <f>0</f>
        <v>0.0</v>
      </c>
      <c r="G206" s="21" t="n">
        <v>6.6894345E9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2619.0</v>
      </c>
      <c r="F207" s="26" t="n">
        <f>0</f>
        <v>0.0</v>
      </c>
      <c r="G207" s="25" t="n">
        <v>1.12355485E10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15.0</v>
      </c>
      <c r="F209" s="22" t="n">
        <f>0</f>
        <v>0.0</v>
      </c>
      <c r="G209" s="21" t="n">
        <v>2.376E7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15.0</v>
      </c>
      <c r="F211" s="26" t="n">
        <f>0</f>
        <v>0.0</v>
      </c>
      <c r="G211" s="25" t="n">
        <v>2.376E7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46289.0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46289.0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15695</f>
        <v>15695.0</v>
      </c>
      <c r="E12" s="35" t="n">
        <f>5303</f>
        <v>5303.0</v>
      </c>
      <c r="F12" s="17" t="n">
        <f>10680</f>
        <v>10680.0</v>
      </c>
      <c r="G12" s="35" t="n">
        <f>2024</f>
        <v>2024.0</v>
      </c>
      <c r="H12" s="17" t="n">
        <f>26375</f>
        <v>26375.0</v>
      </c>
      <c r="I12" s="35" t="n">
        <f>7327</f>
        <v>7327.0</v>
      </c>
      <c r="J12" s="17" t="n">
        <f>5137686570</f>
        <v>5.13768657E9</v>
      </c>
      <c r="K12" s="35" t="n">
        <f>2763725570</f>
        <v>2.76372557E9</v>
      </c>
      <c r="L12" s="17" t="n">
        <f>3364166490</f>
        <v>3.36416649E9</v>
      </c>
      <c r="M12" s="35" t="n">
        <f>991910490</f>
        <v>9.9191049E8</v>
      </c>
      <c r="N12" s="17" t="n">
        <f>8501853060</f>
        <v>8.50185306E9</v>
      </c>
      <c r="O12" s="35" t="n">
        <f>3755636060</f>
        <v>3.75563606E9</v>
      </c>
    </row>
    <row r="13" spans="1:15" ht="24.9" customHeight="1">
      <c r="A13" s="38"/>
      <c r="B13" s="62"/>
      <c r="C13" s="20" t="s">
        <v>16</v>
      </c>
      <c r="D13" s="21" t="n">
        <f>4293</f>
        <v>4293.0</v>
      </c>
      <c r="E13" s="36" t="n">
        <f>1991</f>
        <v>1991.0</v>
      </c>
      <c r="F13" s="21" t="n">
        <f>2567</f>
        <v>2567.0</v>
      </c>
      <c r="G13" s="36" t="n">
        <f>1103</f>
        <v>1103.0</v>
      </c>
      <c r="H13" s="21" t="n">
        <f>6860</f>
        <v>6860.0</v>
      </c>
      <c r="I13" s="36" t="n">
        <f>3094</f>
        <v>3094.0</v>
      </c>
      <c r="J13" s="21" t="n">
        <f>1379163134</f>
        <v>1.379163134E9</v>
      </c>
      <c r="K13" s="36" t="n">
        <f>745698134</f>
        <v>7.45698134E8</v>
      </c>
      <c r="L13" s="21" t="n">
        <f>1549989720</f>
        <v>1.54998972E9</v>
      </c>
      <c r="M13" s="36" t="n">
        <f>1189485720</f>
        <v>1.18948572E9</v>
      </c>
      <c r="N13" s="21" t="n">
        <f>2929152854</f>
        <v>2.929152854E9</v>
      </c>
      <c r="O13" s="36" t="n">
        <f>1935183854</f>
        <v>1.935183854E9</v>
      </c>
    </row>
    <row r="14" spans="1:15" ht="24.9" customHeight="1">
      <c r="A14" s="38"/>
      <c r="B14" s="62"/>
      <c r="C14" s="20" t="s">
        <v>17</v>
      </c>
      <c r="D14" s="21" t="n">
        <f>14607</f>
        <v>14607.0</v>
      </c>
      <c r="E14" s="36" t="n">
        <f>10942</f>
        <v>10942.0</v>
      </c>
      <c r="F14" s="21" t="n">
        <f>5788</f>
        <v>5788.0</v>
      </c>
      <c r="G14" s="36" t="n">
        <f>3863</f>
        <v>3863.0</v>
      </c>
      <c r="H14" s="21" t="n">
        <f>20395</f>
        <v>20395.0</v>
      </c>
      <c r="I14" s="36" t="n">
        <f>14805</f>
        <v>14805.0</v>
      </c>
      <c r="J14" s="21" t="n">
        <f>9744625930</f>
        <v>9.74462593E9</v>
      </c>
      <c r="K14" s="36" t="n">
        <f>8651613930</f>
        <v>8.65161393E9</v>
      </c>
      <c r="L14" s="21" t="n">
        <f>3569097350</f>
        <v>3.56909735E9</v>
      </c>
      <c r="M14" s="36" t="n">
        <f>2984466350</f>
        <v>2.98446635E9</v>
      </c>
      <c r="N14" s="21" t="n">
        <f>13313723280</f>
        <v>1.331372328E10</v>
      </c>
      <c r="O14" s="36" t="n">
        <f>11636080280</f>
        <v>1.163608028E10</v>
      </c>
    </row>
    <row r="15" spans="1:15" ht="24.9" customHeight="1">
      <c r="A15" s="38"/>
      <c r="B15" s="62"/>
      <c r="C15" s="24" t="s">
        <v>18</v>
      </c>
      <c r="D15" s="25" t="n">
        <f>34595</f>
        <v>34595.0</v>
      </c>
      <c r="E15" s="37" t="n">
        <f>18236</f>
        <v>18236.0</v>
      </c>
      <c r="F15" s="25" t="n">
        <f>19035</f>
        <v>19035.0</v>
      </c>
      <c r="G15" s="37" t="n">
        <f>6990</f>
        <v>6990.0</v>
      </c>
      <c r="H15" s="25" t="n">
        <f>53630</f>
        <v>53630.0</v>
      </c>
      <c r="I15" s="37" t="n">
        <f>25226</f>
        <v>25226.0</v>
      </c>
      <c r="J15" s="25" t="n">
        <f>16261475634</f>
        <v>1.6261475634E10</v>
      </c>
      <c r="K15" s="37" t="n">
        <f>12161037634</f>
        <v>1.2161037634E10</v>
      </c>
      <c r="L15" s="25" t="n">
        <f>8483253560</f>
        <v>8.48325356E9</v>
      </c>
      <c r="M15" s="37" t="n">
        <f>5165862560</f>
        <v>5.16586256E9</v>
      </c>
      <c r="N15" s="25" t="n">
        <f>24744729194</f>
        <v>2.4744729194E10</v>
      </c>
      <c r="O15" s="37" t="n">
        <f>17326900194</f>
        <v>1.7326900194E10</v>
      </c>
    </row>
    <row r="16" spans="1:15" ht="24.9" customHeight="1">
      <c r="A16" s="38"/>
      <c r="B16" s="61" t="s">
        <v>105</v>
      </c>
      <c r="C16" s="16" t="s">
        <v>15</v>
      </c>
      <c r="D16" s="17" t="n">
        <f>62873</f>
        <v>62873.0</v>
      </c>
      <c r="E16" s="35" t="n">
        <f>6790</f>
        <v>6790.0</v>
      </c>
      <c r="F16" s="17" t="n">
        <f>50330</f>
        <v>50330.0</v>
      </c>
      <c r="G16" s="35" t="n">
        <f>2940</f>
        <v>2940.0</v>
      </c>
      <c r="H16" s="17" t="n">
        <f>113203</f>
        <v>113203.0</v>
      </c>
      <c r="I16" s="35" t="n">
        <f>9730</f>
        <v>9730.0</v>
      </c>
      <c r="J16" s="17" t="n">
        <f>1363681260</f>
        <v>1.36368126E9</v>
      </c>
      <c r="K16" s="35" t="n">
        <f>40763260</f>
        <v>4.076326E7</v>
      </c>
      <c r="L16" s="17" t="n">
        <f>1460831970</f>
        <v>1.46083197E9</v>
      </c>
      <c r="M16" s="35" t="n">
        <f>28935970</f>
        <v>2.893597E7</v>
      </c>
      <c r="N16" s="17" t="n">
        <f>2824513230</f>
        <v>2.82451323E9</v>
      </c>
      <c r="O16" s="35" t="n">
        <f>69699230</f>
        <v>6.969923E7</v>
      </c>
    </row>
    <row r="17" spans="1:15" ht="24.9" customHeight="1">
      <c r="A17" s="38"/>
      <c r="B17" s="62"/>
      <c r="C17" s="20" t="s">
        <v>16</v>
      </c>
      <c r="D17" s="21" t="n">
        <f>6639</f>
        <v>6639.0</v>
      </c>
      <c r="E17" s="36" t="n">
        <f>280</f>
        <v>280.0</v>
      </c>
      <c r="F17" s="21" t="n">
        <f>7978</f>
        <v>7978.0</v>
      </c>
      <c r="G17" s="36" t="n">
        <f>190</f>
        <v>190.0</v>
      </c>
      <c r="H17" s="21" t="n">
        <f>14617</f>
        <v>14617.0</v>
      </c>
      <c r="I17" s="36" t="n">
        <f>470</f>
        <v>470.0</v>
      </c>
      <c r="J17" s="21" t="n">
        <f>113796330</f>
        <v>1.1379633E8</v>
      </c>
      <c r="K17" s="36" t="n">
        <f>2109130</f>
        <v>2109130.0</v>
      </c>
      <c r="L17" s="21" t="n">
        <f>130967940</f>
        <v>1.3096794E8</v>
      </c>
      <c r="M17" s="36" t="n">
        <f>448040</f>
        <v>448040.0</v>
      </c>
      <c r="N17" s="21" t="n">
        <f>244764270</f>
        <v>2.4476427E8</v>
      </c>
      <c r="O17" s="36" t="n">
        <f>2557170</f>
        <v>2557170.0</v>
      </c>
    </row>
    <row r="18" spans="1:15" ht="24.9" customHeight="1">
      <c r="A18" s="38"/>
      <c r="B18" s="62"/>
      <c r="C18" s="20" t="s">
        <v>17</v>
      </c>
      <c r="D18" s="21" t="n">
        <f>12900</f>
        <v>12900.0</v>
      </c>
      <c r="E18" s="36" t="n">
        <f>1030</f>
        <v>1030.0</v>
      </c>
      <c r="F18" s="21" t="n">
        <f>9703</f>
        <v>9703.0</v>
      </c>
      <c r="G18" s="36" t="n">
        <f>320</f>
        <v>320.0</v>
      </c>
      <c r="H18" s="21" t="n">
        <f>22603</f>
        <v>22603.0</v>
      </c>
      <c r="I18" s="36" t="n">
        <f>1350</f>
        <v>1350.0</v>
      </c>
      <c r="J18" s="21" t="n">
        <f>214740020</f>
        <v>2.1474002E8</v>
      </c>
      <c r="K18" s="36" t="n">
        <f>7826120</f>
        <v>7826120.0</v>
      </c>
      <c r="L18" s="21" t="n">
        <f>224227360</f>
        <v>2.2422736E8</v>
      </c>
      <c r="M18" s="36" t="n">
        <f>1673560</f>
        <v>1673560.0</v>
      </c>
      <c r="N18" s="21" t="n">
        <f>438967380</f>
        <v>4.3896738E8</v>
      </c>
      <c r="O18" s="36" t="n">
        <f>9499680</f>
        <v>9499680.0</v>
      </c>
    </row>
    <row r="19" spans="1:15" ht="24.9" customHeight="1">
      <c r="A19" s="38"/>
      <c r="B19" s="62"/>
      <c r="C19" s="24" t="s">
        <v>18</v>
      </c>
      <c r="D19" s="25" t="n">
        <f>82412</f>
        <v>82412.0</v>
      </c>
      <c r="E19" s="37" t="n">
        <f>8100</f>
        <v>8100.0</v>
      </c>
      <c r="F19" s="25" t="n">
        <f>68011</f>
        <v>68011.0</v>
      </c>
      <c r="G19" s="37" t="n">
        <f>3450</f>
        <v>3450.0</v>
      </c>
      <c r="H19" s="25" t="n">
        <f>150423</f>
        <v>150423.0</v>
      </c>
      <c r="I19" s="37" t="n">
        <f>11550</f>
        <v>11550.0</v>
      </c>
      <c r="J19" s="25" t="n">
        <f>1692217610</f>
        <v>1.69221761E9</v>
      </c>
      <c r="K19" s="37" t="n">
        <f>50698510</f>
        <v>5.069851E7</v>
      </c>
      <c r="L19" s="25" t="n">
        <f>1816027270</f>
        <v>1.81602727E9</v>
      </c>
      <c r="M19" s="37" t="n">
        <f>31057570</f>
        <v>3.105757E7</v>
      </c>
      <c r="N19" s="25" t="n">
        <f>3508244880</f>
        <v>3.50824488E9</v>
      </c>
      <c r="O19" s="37" t="n">
        <f>81756080</f>
        <v>8.175608E7</v>
      </c>
    </row>
    <row r="20" spans="1:15" ht="24.9" customHeight="1">
      <c r="A20" s="38"/>
      <c r="B20" s="61" t="s">
        <v>106</v>
      </c>
      <c r="C20" s="16" t="s">
        <v>15</v>
      </c>
      <c r="D20" s="17" t="n">
        <f>332</f>
        <v>332.0</v>
      </c>
      <c r="E20" s="35" t="n">
        <f>332</f>
        <v>332.0</v>
      </c>
      <c r="F20" s="17" t="n">
        <f>0</f>
        <v>0.0</v>
      </c>
      <c r="G20" s="35" t="n">
        <f>0</f>
        <v>0.0</v>
      </c>
      <c r="H20" s="17" t="n">
        <f>332</f>
        <v>332.0</v>
      </c>
      <c r="I20" s="35" t="n">
        <f>332</f>
        <v>332.0</v>
      </c>
      <c r="J20" s="17" t="n">
        <f>682489600</f>
        <v>6.824896E8</v>
      </c>
      <c r="K20" s="35" t="n">
        <f>682489600</f>
        <v>6.824896E8</v>
      </c>
      <c r="L20" s="17" t="n">
        <f>0</f>
        <v>0.0</v>
      </c>
      <c r="M20" s="35" t="n">
        <f>0</f>
        <v>0.0</v>
      </c>
      <c r="N20" s="17" t="n">
        <f>682489600</f>
        <v>6.824896E8</v>
      </c>
      <c r="O20" s="35" t="n">
        <f>682489600</f>
        <v>6.824896E8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722</f>
        <v>722.0</v>
      </c>
      <c r="E22" s="36" t="n">
        <f>722</f>
        <v>722.0</v>
      </c>
      <c r="F22" s="21" t="n">
        <f>300</f>
        <v>300.0</v>
      </c>
      <c r="G22" s="36" t="n">
        <f>300</f>
        <v>300.0</v>
      </c>
      <c r="H22" s="21" t="n">
        <f>1022</f>
        <v>1022.0</v>
      </c>
      <c r="I22" s="36" t="n">
        <f>1022</f>
        <v>1022.0</v>
      </c>
      <c r="J22" s="21" t="n">
        <f>521288520</f>
        <v>5.2128852E8</v>
      </c>
      <c r="K22" s="36" t="n">
        <f>521288520</f>
        <v>5.2128852E8</v>
      </c>
      <c r="L22" s="21" t="n">
        <f>125000000</f>
        <v>1.25E8</v>
      </c>
      <c r="M22" s="36" t="n">
        <f>125000000</f>
        <v>1.25E8</v>
      </c>
      <c r="N22" s="21" t="n">
        <f>646288520</f>
        <v>6.4628852E8</v>
      </c>
      <c r="O22" s="36" t="n">
        <f>646288520</f>
        <v>6.4628852E8</v>
      </c>
    </row>
    <row r="23" spans="1:15" ht="24.9" customHeight="1">
      <c r="A23" s="38"/>
      <c r="B23" s="62"/>
      <c r="C23" s="24" t="s">
        <v>18</v>
      </c>
      <c r="D23" s="25" t="n">
        <f>1054</f>
        <v>1054.0</v>
      </c>
      <c r="E23" s="37" t="n">
        <f>1054</f>
        <v>1054.0</v>
      </c>
      <c r="F23" s="25" t="n">
        <f>300</f>
        <v>300.0</v>
      </c>
      <c r="G23" s="37" t="n">
        <f>300</f>
        <v>300.0</v>
      </c>
      <c r="H23" s="25" t="n">
        <f>1354</f>
        <v>1354.0</v>
      </c>
      <c r="I23" s="37" t="n">
        <f>1354</f>
        <v>1354.0</v>
      </c>
      <c r="J23" s="25" t="n">
        <f>1203778120</f>
        <v>1.20377812E9</v>
      </c>
      <c r="K23" s="37" t="n">
        <f>1203778120</f>
        <v>1.20377812E9</v>
      </c>
      <c r="L23" s="25" t="n">
        <f>125000000</f>
        <v>1.25E8</v>
      </c>
      <c r="M23" s="37" t="n">
        <f>125000000</f>
        <v>1.25E8</v>
      </c>
      <c r="N23" s="25" t="n">
        <f>1328778120</f>
        <v>1.32877812E9</v>
      </c>
      <c r="O23" s="37" t="n">
        <f>1328778120</f>
        <v>1.32877812E9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100</f>
        <v>100.0</v>
      </c>
      <c r="E36" s="18" t="n">
        <f>50</f>
        <v>50.0</v>
      </c>
      <c r="F36" s="17" t="n">
        <f>170</f>
        <v>170.0</v>
      </c>
      <c r="G36" s="18" t="n">
        <f>50</f>
        <v>50.0</v>
      </c>
      <c r="H36" s="17" t="n">
        <f>270</f>
        <v>270.0</v>
      </c>
      <c r="I36" s="18" t="n">
        <f>100</f>
        <v>100.0</v>
      </c>
      <c r="J36" s="17" t="n">
        <f>20250000</f>
        <v>2.025E7</v>
      </c>
      <c r="K36" s="18" t="n">
        <f>15500000</f>
        <v>1.55E7</v>
      </c>
      <c r="L36" s="17" t="n">
        <f>24170000</f>
        <v>2.417E7</v>
      </c>
      <c r="M36" s="18" t="n">
        <f>15500000</f>
        <v>1.55E7</v>
      </c>
      <c r="N36" s="17" t="n">
        <f>44420000</f>
        <v>4.442E7</v>
      </c>
      <c r="O36" s="18" t="n">
        <f>31000000</f>
        <v>3.1E7</v>
      </c>
    </row>
    <row r="37" spans="1:15" ht="24.9" customHeight="1">
      <c r="A37" s="38"/>
      <c r="B37" s="62"/>
      <c r="C37" s="20" t="s">
        <v>16</v>
      </c>
      <c r="D37" s="21" t="n">
        <f>95</f>
        <v>95.0</v>
      </c>
      <c r="E37" s="22" t="n">
        <f>0</f>
        <v>0.0</v>
      </c>
      <c r="F37" s="21" t="n">
        <f>89</f>
        <v>89.0</v>
      </c>
      <c r="G37" s="22" t="n">
        <f>0</f>
        <v>0.0</v>
      </c>
      <c r="H37" s="21" t="n">
        <f>184</f>
        <v>184.0</v>
      </c>
      <c r="I37" s="22" t="n">
        <f>0</f>
        <v>0.0</v>
      </c>
      <c r="J37" s="21" t="n">
        <f>14850000</f>
        <v>1.485E7</v>
      </c>
      <c r="K37" s="22" t="n">
        <f>0</f>
        <v>0.0</v>
      </c>
      <c r="L37" s="21" t="n">
        <f>10370000</f>
        <v>1.037E7</v>
      </c>
      <c r="M37" s="22" t="n">
        <f>0</f>
        <v>0.0</v>
      </c>
      <c r="N37" s="21" t="n">
        <f>25220000</f>
        <v>2.522E7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103</f>
        <v>103.0</v>
      </c>
      <c r="E38" s="36" t="n">
        <f>0</f>
        <v>0.0</v>
      </c>
      <c r="F38" s="21" t="n">
        <f>33</f>
        <v>33.0</v>
      </c>
      <c r="G38" s="36" t="n">
        <f>0</f>
        <v>0.0</v>
      </c>
      <c r="H38" s="21" t="n">
        <f>136</f>
        <v>136.0</v>
      </c>
      <c r="I38" s="36" t="n">
        <f>0</f>
        <v>0.0</v>
      </c>
      <c r="J38" s="21" t="n">
        <f>16190000</f>
        <v>1.619E7</v>
      </c>
      <c r="K38" s="36" t="n">
        <f>0</f>
        <v>0.0</v>
      </c>
      <c r="L38" s="21" t="n">
        <f>6070000</f>
        <v>6070000.0</v>
      </c>
      <c r="M38" s="36" t="n">
        <f>0</f>
        <v>0.0</v>
      </c>
      <c r="N38" s="21" t="n">
        <f>22260000</f>
        <v>2.226E7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298</f>
        <v>298.0</v>
      </c>
      <c r="E39" s="37" t="n">
        <f>50</f>
        <v>50.0</v>
      </c>
      <c r="F39" s="25" t="n">
        <f>292</f>
        <v>292.0</v>
      </c>
      <c r="G39" s="37" t="n">
        <f>50</f>
        <v>50.0</v>
      </c>
      <c r="H39" s="25" t="n">
        <f>590</f>
        <v>590.0</v>
      </c>
      <c r="I39" s="37" t="n">
        <f>100</f>
        <v>100.0</v>
      </c>
      <c r="J39" s="25" t="n">
        <f>51290000</f>
        <v>5.129E7</v>
      </c>
      <c r="K39" s="37" t="n">
        <f>15500000</f>
        <v>1.55E7</v>
      </c>
      <c r="L39" s="25" t="n">
        <f>40610000</f>
        <v>4.061E7</v>
      </c>
      <c r="M39" s="37" t="n">
        <f>15500000</f>
        <v>1.55E7</v>
      </c>
      <c r="N39" s="25" t="n">
        <f>91900000</f>
        <v>9.19E7</v>
      </c>
      <c r="O39" s="37" t="n">
        <f>31000000</f>
        <v>3.1E7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1012</f>
        <v>1012.0</v>
      </c>
      <c r="E41" s="36" t="n">
        <f>0</f>
        <v>0.0</v>
      </c>
      <c r="F41" s="21" t="n">
        <f>387</f>
        <v>387.0</v>
      </c>
      <c r="G41" s="36" t="n">
        <f>0</f>
        <v>0.0</v>
      </c>
      <c r="H41" s="21" t="n">
        <f>1399</f>
        <v>1399.0</v>
      </c>
      <c r="I41" s="36" t="n">
        <f>0</f>
        <v>0.0</v>
      </c>
      <c r="J41" s="21" t="n">
        <f>8335574</f>
        <v>8335574.0</v>
      </c>
      <c r="K41" s="36" t="n">
        <f>0</f>
        <v>0.0</v>
      </c>
      <c r="L41" s="21" t="n">
        <f>2654323</f>
        <v>2654323.0</v>
      </c>
      <c r="M41" s="36" t="n">
        <f>0</f>
        <v>0.0</v>
      </c>
      <c r="N41" s="21" t="n">
        <f>10989897</f>
        <v>1.0989897E7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225</f>
        <v>225.0</v>
      </c>
      <c r="E42" s="36" t="n">
        <f>0</f>
        <v>0.0</v>
      </c>
      <c r="F42" s="21" t="n">
        <f>8344</f>
        <v>8344.0</v>
      </c>
      <c r="G42" s="36" t="n">
        <f>0</f>
        <v>0.0</v>
      </c>
      <c r="H42" s="21" t="n">
        <f>8569</f>
        <v>8569.0</v>
      </c>
      <c r="I42" s="36" t="n">
        <f>0</f>
        <v>0.0</v>
      </c>
      <c r="J42" s="21" t="n">
        <f>6180691</f>
        <v>6180691.0</v>
      </c>
      <c r="K42" s="36" t="n">
        <f>0</f>
        <v>0.0</v>
      </c>
      <c r="L42" s="21" t="n">
        <f>12871510</f>
        <v>1.287151E7</v>
      </c>
      <c r="M42" s="36" t="n">
        <f>0</f>
        <v>0.0</v>
      </c>
      <c r="N42" s="21" t="n">
        <f>19052201</f>
        <v>1.9052201E7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1237</f>
        <v>1237.0</v>
      </c>
      <c r="E43" s="37" t="n">
        <f>0</f>
        <v>0.0</v>
      </c>
      <c r="F43" s="25" t="n">
        <f>8731</f>
        <v>8731.0</v>
      </c>
      <c r="G43" s="37" t="n">
        <f>0</f>
        <v>0.0</v>
      </c>
      <c r="H43" s="25" t="n">
        <f>9968</f>
        <v>9968.0</v>
      </c>
      <c r="I43" s="37" t="n">
        <f>0</f>
        <v>0.0</v>
      </c>
      <c r="J43" s="25" t="n">
        <f>14516265</f>
        <v>1.4516265E7</v>
      </c>
      <c r="K43" s="37" t="n">
        <f>0</f>
        <v>0.0</v>
      </c>
      <c r="L43" s="25" t="n">
        <f>15525833</f>
        <v>1.5525833E7</v>
      </c>
      <c r="M43" s="37" t="n">
        <f>0</f>
        <v>0.0</v>
      </c>
      <c r="N43" s="25" t="n">
        <f>30042098</f>
        <v>3.0042098E7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