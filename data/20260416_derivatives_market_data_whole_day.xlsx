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<sst xmlns="http://schemas.openxmlformats.org/spreadsheetml/2006/main" count="528" uniqueCount="129">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</sst>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DATE(2026,04,16)</f>
        <v>46128.0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DATE(2026,04,16)</f>
        <v>46128.0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461830.0</f>
        <v>461830.0</v>
      </c>
      <c r="E12" s="18" t="n">
        <f>21795.0</f>
        <v>21795.0</v>
      </c>
      <c r="F12" s="19" t="n">
        <f>1.0</f>
        <v>1.0</v>
      </c>
      <c r="G12" s="17" t="n">
        <f>3436036685592.0</f>
        <v>3.436036685592E12</v>
      </c>
      <c r="H12" s="18" t="n">
        <f>303926619742.0</f>
        <v>3.03926619742E11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362794.0</f>
        <v>362794.0</v>
      </c>
      <c r="E13" s="22" t="n">
        <f>23192.0</f>
        <v>23192.0</v>
      </c>
      <c r="F13" s="23" t="n">
        <f>1.0</f>
        <v>1.0</v>
      </c>
      <c r="G13" s="21" t="n">
        <f>3342985238755.0</f>
        <v>3.342985238755E12</v>
      </c>
      <c r="H13" s="22" t="n">
        <f>543327220180.0</f>
        <v>5.4332722018E11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512943.0</f>
        <v>512943.0</v>
      </c>
      <c r="E14" s="22" t="n">
        <f>46596.0</f>
        <v>46596.0</v>
      </c>
      <c r="F14" s="23" t="n">
        <f>1.0</f>
        <v>1.0</v>
      </c>
      <c r="G14" s="21" t="n">
        <f>5803460789406.0</f>
        <v>5.803460789406E12</v>
      </c>
      <c r="H14" s="22" t="n">
        <f>1114200211056.0</f>
        <v>1.114200211056E12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1337567.0</f>
        <v>1337567.0</v>
      </c>
      <c r="E15" s="26" t="n">
        <f>91583.0</f>
        <v>91583.0</v>
      </c>
      <c r="F15" s="27" t="n">
        <f>1.0</f>
        <v>1.0</v>
      </c>
      <c r="G15" s="25" t="n">
        <f>12582482713753.0</f>
        <v>1.2582482713753E13</v>
      </c>
      <c r="H15" s="26" t="n">
        <f>1961454050978.0</f>
        <v>1.961454050978E12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10163.0</f>
        <v>10163.0</v>
      </c>
      <c r="E16" s="18" t="n">
        <f>1018.0</f>
        <v>1018.0</v>
      </c>
      <c r="F16" s="19" t="n">
        <f>0.022</f>
        <v>0.022</v>
      </c>
      <c r="G16" s="17" t="n">
        <f>1232713290000.0</f>
        <v>1.23271329E12</v>
      </c>
      <c r="H16" s="18" t="n">
        <f>128186935000.0</f>
        <v>1.28186935E11</v>
      </c>
      <c r="I16" s="19" t="n">
        <f>0.359</f>
        <v>0.359</v>
      </c>
    </row>
    <row r="17" spans="1:9" ht="24.9" customHeight="1">
      <c r="A17" s="41"/>
      <c r="B17" s="39"/>
      <c r="C17" s="20" t="s">
        <v>16</v>
      </c>
      <c r="D17" s="21" t="n">
        <f>10576.0</f>
        <v>10576.0</v>
      </c>
      <c r="E17" s="22" t="n">
        <f>2824.0</f>
        <v>2824.0</v>
      </c>
      <c r="F17" s="23" t="n">
        <f>0.029</f>
        <v>0.029</v>
      </c>
      <c r="G17" s="21" t="n">
        <f>1320307071875.0</f>
        <v>1.320307071875E12</v>
      </c>
      <c r="H17" s="22" t="n">
        <f>367047270000.0</f>
        <v>3.6704727E11</v>
      </c>
      <c r="I17" s="23" t="n">
        <f>0.395</f>
        <v>0.395</v>
      </c>
    </row>
    <row r="18" spans="1:9" ht="24.9" customHeight="1">
      <c r="A18" s="41"/>
      <c r="B18" s="39"/>
      <c r="C18" s="20" t="s">
        <v>17</v>
      </c>
      <c r="D18" s="21" t="n">
        <f>15498.0</f>
        <v>15498.0</v>
      </c>
      <c r="E18" s="22" t="n">
        <f>522.0</f>
        <v>522.0</v>
      </c>
      <c r="F18" s="23" t="n">
        <f>0.03</f>
        <v>0.03</v>
      </c>
      <c r="G18" s="21" t="n">
        <f>1781525495250.0</f>
        <v>1.78152549525E12</v>
      </c>
      <c r="H18" s="22" t="n">
        <f>67892970000.0</f>
        <v>6.789297E10</v>
      </c>
      <c r="I18" s="23" t="n">
        <f>0.307</f>
        <v>0.307</v>
      </c>
    </row>
    <row r="19" spans="1:9" ht="24.9" customHeight="1">
      <c r="A19" s="41"/>
      <c r="B19" s="39"/>
      <c r="C19" s="24" t="s">
        <v>18</v>
      </c>
      <c r="D19" s="25" t="n">
        <f>36237.0</f>
        <v>36237.0</v>
      </c>
      <c r="E19" s="26" t="n">
        <f>4364.0</f>
        <v>4364.0</v>
      </c>
      <c r="F19" s="27" t="n">
        <f>0.027</f>
        <v>0.027</v>
      </c>
      <c r="G19" s="25" t="n">
        <f>4334545857125.0</f>
        <v>4.334545857125E12</v>
      </c>
      <c r="H19" s="26" t="n">
        <f>563127175000.0</f>
        <v>5.63127175E11</v>
      </c>
      <c r="I19" s="27" t="n">
        <f>0.344</f>
        <v>0.344</v>
      </c>
    </row>
    <row r="20" spans="1:9" ht="24.9" customHeight="1">
      <c r="A20" s="41"/>
      <c r="B20" s="39" t="s">
        <v>21</v>
      </c>
      <c r="C20" s="16" t="s">
        <v>15</v>
      </c>
      <c r="D20" s="17" t="n">
        <f>439150.0</f>
        <v>439150.0</v>
      </c>
      <c r="E20" s="18" t="n">
        <f>20747.0</f>
        <v>20747.0</v>
      </c>
      <c r="F20" s="19" t="n">
        <f>0.951</f>
        <v>0.951</v>
      </c>
      <c r="G20" s="17" t="n">
        <f>2054521945692.0</f>
        <v>2.054521945692E12</v>
      </c>
      <c r="H20" s="18" t="n">
        <f>175683984742.0</f>
        <v>1.75683984742E11</v>
      </c>
      <c r="I20" s="19" t="n">
        <f>0.598</f>
        <v>0.598</v>
      </c>
    </row>
    <row r="21" spans="1:9" ht="24.9" customHeight="1">
      <c r="A21" s="41"/>
      <c r="B21" s="39"/>
      <c r="C21" s="20" t="s">
        <v>16</v>
      </c>
      <c r="D21" s="21" t="n">
        <f>347216.0</f>
        <v>347216.0</v>
      </c>
      <c r="E21" s="22" t="n">
        <f>20368.0</f>
        <v>20368.0</v>
      </c>
      <c r="F21" s="23" t="n">
        <f>0.957</f>
        <v>0.957</v>
      </c>
      <c r="G21" s="21" t="n">
        <f>1966018957980.0</f>
        <v>1.96601895798E12</v>
      </c>
      <c r="H21" s="22" t="n">
        <f>176279950180.0</f>
        <v>1.7627995018E11</v>
      </c>
      <c r="I21" s="23" t="n">
        <f>0.588</f>
        <v>0.588</v>
      </c>
    </row>
    <row r="22" spans="1:9" ht="24.9" customHeight="1">
      <c r="A22" s="41"/>
      <c r="B22" s="39"/>
      <c r="C22" s="20" t="s">
        <v>17</v>
      </c>
      <c r="D22" s="21" t="n">
        <f>488630.0</f>
        <v>488630.0</v>
      </c>
      <c r="E22" s="22" t="n">
        <f>45934.0</f>
        <v>45934.0</v>
      </c>
      <c r="F22" s="23" t="n">
        <f>0.953</f>
        <v>0.953</v>
      </c>
      <c r="G22" s="21" t="n">
        <f>3947841229856.0</f>
        <v>3.947841229856E12</v>
      </c>
      <c r="H22" s="22" t="n">
        <f>1046043341056.0</f>
        <v>1.046043341056E12</v>
      </c>
      <c r="I22" s="23" t="n">
        <f>0.68</f>
        <v>0.68</v>
      </c>
    </row>
    <row r="23" spans="1:9" ht="24.9" customHeight="1">
      <c r="A23" s="41"/>
      <c r="B23" s="39"/>
      <c r="C23" s="24" t="s">
        <v>18</v>
      </c>
      <c r="D23" s="25" t="n">
        <f>1274996.0</f>
        <v>1274996.0</v>
      </c>
      <c r="E23" s="26" t="n">
        <f>87049.0</f>
        <v>87049.0</v>
      </c>
      <c r="F23" s="27" t="n">
        <f>0.953</f>
        <v>0.953</v>
      </c>
      <c r="G23" s="25" t="n">
        <f>7968382133528.0</f>
        <v>7.968382133528E12</v>
      </c>
      <c r="H23" s="26" t="n">
        <f>1398007275978.0</f>
        <v>1.398007275978E12</v>
      </c>
      <c r="I23" s="27" t="n">
        <f>0.633</f>
        <v>0.633</v>
      </c>
    </row>
    <row r="24" spans="1:9" ht="24.9" customHeight="1">
      <c r="A24" s="41"/>
      <c r="B24" s="39" t="s">
        <v>22</v>
      </c>
      <c r="C24" s="16" t="s">
        <v>15</v>
      </c>
      <c r="D24" s="17" t="n">
        <f>12216.0</f>
        <v>12216.0</v>
      </c>
      <c r="E24" s="18" t="n">
        <f>0.0</f>
        <v>0.0</v>
      </c>
      <c r="F24" s="19" t="n">
        <f>0.026</f>
        <v>0.026</v>
      </c>
      <c r="G24" s="17" t="n">
        <f>147615647900.0</f>
        <v>1.476156479E11</v>
      </c>
      <c r="H24" s="18" t="n">
        <f>0.0</f>
        <v>0.0</v>
      </c>
      <c r="I24" s="19" t="n">
        <f>0.043</f>
        <v>0.043</v>
      </c>
    </row>
    <row r="25" spans="1:9" ht="24.9" customHeight="1">
      <c r="A25" s="41"/>
      <c r="B25" s="39"/>
      <c r="C25" s="20" t="s">
        <v>16</v>
      </c>
      <c r="D25" s="21" t="n">
        <f>4849.0</f>
        <v>4849.0</v>
      </c>
      <c r="E25" s="22" t="n">
        <f>0.0</f>
        <v>0.0</v>
      </c>
      <c r="F25" s="23" t="n">
        <f>0.013</f>
        <v>0.013</v>
      </c>
      <c r="G25" s="21" t="n">
        <f>56030363400.0</f>
        <v>5.60303634E10</v>
      </c>
      <c r="H25" s="22" t="n">
        <f>0.0</f>
        <v>0.0</v>
      </c>
      <c r="I25" s="23" t="n">
        <f>0.017</f>
        <v>0.017</v>
      </c>
    </row>
    <row r="26" spans="1:9" ht="24.9" customHeight="1">
      <c r="A26" s="41"/>
      <c r="B26" s="39"/>
      <c r="C26" s="20" t="s">
        <v>17</v>
      </c>
      <c r="D26" s="21" t="n">
        <f>7771.0</f>
        <v>7771.0</v>
      </c>
      <c r="E26" s="22" t="n">
        <f>140.0</f>
        <v>140.0</v>
      </c>
      <c r="F26" s="23" t="n">
        <f>0.015</f>
        <v>0.015</v>
      </c>
      <c r="G26" s="21" t="n">
        <f>69782164300.0</f>
        <v>6.97821643E10</v>
      </c>
      <c r="H26" s="22" t="n">
        <f>263900000.0</f>
        <v>2.639E8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24836.0</f>
        <v>24836.0</v>
      </c>
      <c r="E27" s="26" t="n">
        <f>140.0</f>
        <v>140.0</v>
      </c>
      <c r="F27" s="27" t="n">
        <f>0.019</f>
        <v>0.019</v>
      </c>
      <c r="G27" s="25" t="n">
        <f>273428175600.0</f>
        <v>2.734281756E11</v>
      </c>
      <c r="H27" s="26" t="n">
        <f>263900000.0</f>
        <v>2.639E8</v>
      </c>
      <c r="I27" s="27" t="n">
        <f>0.022</f>
        <v>0.022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301.0</f>
        <v>301.0</v>
      </c>
      <c r="E28" s="18" t="n">
        <f>30.0</f>
        <v>30.0</v>
      </c>
      <c r="F28" s="19" t="n">
        <f>0.001</f>
        <v>0.001</v>
      </c>
      <c r="G28" s="17" t="n">
        <f>1185802000.0</f>
        <v>1.185802E9</v>
      </c>
      <c r="H28" s="18" t="n">
        <f>55700000.0</f>
        <v>5.57E7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153.0</f>
        <v>153.0</v>
      </c>
      <c r="E29" s="22" t="n">
        <f>0.0</f>
        <v>0.0</v>
      </c>
      <c r="F29" s="23" t="n">
        <f>0.0</f>
        <v>0.0</v>
      </c>
      <c r="G29" s="21" t="n">
        <f>628845500.0</f>
        <v>6.288455E8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1044.0</f>
        <v>1044.0</v>
      </c>
      <c r="E30" s="22" t="n">
        <f>0.0</f>
        <v>0.0</v>
      </c>
      <c r="F30" s="23" t="n">
        <f>0.002</f>
        <v>0.002</v>
      </c>
      <c r="G30" s="21" t="n">
        <f>4311900000.0</f>
        <v>4.3119E9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1498.0</f>
        <v>1498.0</v>
      </c>
      <c r="E31" s="26" t="n">
        <f>30.0</f>
        <v>30.0</v>
      </c>
      <c r="F31" s="27" t="n">
        <f>0.001</f>
        <v>0.001</v>
      </c>
      <c r="G31" s="25" t="n">
        <f>6126547500.0</f>
        <v>6.1265475E9</v>
      </c>
      <c r="H31" s="26" t="n">
        <f>55700000.0</f>
        <v>5.57E7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46128.0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46128.0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20588</f>
        <v>20588.0</v>
      </c>
      <c r="E11" s="18" t="n">
        <f>4129</f>
        <v>4129.0</v>
      </c>
      <c r="F11" s="19" t="n">
        <f>1</f>
        <v>1.0</v>
      </c>
      <c r="G11" s="17" t="n">
        <f>2807921200</f>
        <v>2.8079212E9</v>
      </c>
      <c r="H11" s="18" t="n">
        <f>1276871200</f>
        <v>1.2768712E9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39027</f>
        <v>39027.0</v>
      </c>
      <c r="E12" s="22" t="n">
        <f>7391</f>
        <v>7391.0</v>
      </c>
      <c r="F12" s="23" t="n">
        <f>1</f>
        <v>1.0</v>
      </c>
      <c r="G12" s="21" t="n">
        <f>8106378009</f>
        <v>8.106378009E9</v>
      </c>
      <c r="H12" s="22" t="n">
        <f>5527595020</f>
        <v>5.52759502E9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108450</f>
        <v>108450.0</v>
      </c>
      <c r="E13" s="22" t="n">
        <f>43568</f>
        <v>43568.0</v>
      </c>
      <c r="F13" s="23" t="n">
        <f>1</f>
        <v>1.0</v>
      </c>
      <c r="G13" s="21" t="n">
        <f>38300070037</f>
        <v>3.8300070037E10</v>
      </c>
      <c r="H13" s="22" t="n">
        <f>31148293087</f>
        <v>3.1148293087E10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168065</f>
        <v>168065.0</v>
      </c>
      <c r="E14" s="26" t="n">
        <f>55088</f>
        <v>55088.0</v>
      </c>
      <c r="F14" s="27" t="n">
        <f>1</f>
        <v>1.0</v>
      </c>
      <c r="G14" s="25" t="n">
        <f>49214369246</f>
        <v>4.9214369246E10</v>
      </c>
      <c r="H14" s="26" t="n">
        <f>37952759307</f>
        <v>3.7952759307E10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36</f>
        <v>36.0</v>
      </c>
      <c r="E16" s="22" t="n">
        <f>30</f>
        <v>30.0</v>
      </c>
      <c r="F16" s="23" t="n">
        <f>0.001</f>
        <v>0.001</v>
      </c>
      <c r="G16" s="21" t="n">
        <f>7170000</f>
        <v>7170000.0</v>
      </c>
      <c r="H16" s="22" t="n">
        <f>6600000</f>
        <v>6600000.0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66</f>
        <v>66.0</v>
      </c>
      <c r="E17" s="22" t="n">
        <f>0</f>
        <v>0.0</v>
      </c>
      <c r="F17" s="23" t="n">
        <f>0.001</f>
        <v>0.001</v>
      </c>
      <c r="G17" s="21" t="n">
        <f>13350000</f>
        <v>1.335E7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102</f>
        <v>102.0</v>
      </c>
      <c r="E18" s="26" t="n">
        <f>30</f>
        <v>30.0</v>
      </c>
      <c r="F18" s="27" t="n">
        <f>0.001</f>
        <v>0.001</v>
      </c>
      <c r="G18" s="25" t="n">
        <f>20520000</f>
        <v>2.052E7</v>
      </c>
      <c r="H18" s="26" t="n">
        <f>6600000</f>
        <v>6600000.0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20588</f>
        <v>20588.0</v>
      </c>
      <c r="E19" s="18" t="n">
        <f>4129</f>
        <v>4129.0</v>
      </c>
      <c r="F19" s="19" t="n">
        <f>1</f>
        <v>1.0</v>
      </c>
      <c r="G19" s="17" t="n">
        <f>2807921200</f>
        <v>2.8079212E9</v>
      </c>
      <c r="H19" s="18" t="n">
        <f>1276871200</f>
        <v>1.2768712E9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33349</f>
        <v>33349.0</v>
      </c>
      <c r="E20" s="22" t="n">
        <f>7361</f>
        <v>7361.0</v>
      </c>
      <c r="F20" s="23" t="n">
        <f>0.855</f>
        <v>0.855</v>
      </c>
      <c r="G20" s="21" t="n">
        <f>8010512220</f>
        <v>8.01051222E9</v>
      </c>
      <c r="H20" s="22" t="n">
        <f>5520995020</f>
        <v>5.52099502E9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86018</f>
        <v>86018.0</v>
      </c>
      <c r="E21" s="22" t="n">
        <f>39643</f>
        <v>39643.0</v>
      </c>
      <c r="F21" s="23" t="n">
        <f>0.793</f>
        <v>0.793</v>
      </c>
      <c r="G21" s="21" t="n">
        <f>37823028187</f>
        <v>3.7823028187E10</v>
      </c>
      <c r="H21" s="22" t="n">
        <f>30733030587</f>
        <v>3.0733030587E10</v>
      </c>
      <c r="I21" s="23" t="n">
        <f>0.988</f>
        <v>0.988</v>
      </c>
    </row>
    <row r="22" spans="1:9" ht="24.9" customHeight="1">
      <c r="A22" s="41"/>
      <c r="B22" s="39"/>
      <c r="C22" s="24" t="s">
        <v>18</v>
      </c>
      <c r="D22" s="25" t="n">
        <f>139955</f>
        <v>139955.0</v>
      </c>
      <c r="E22" s="26" t="n">
        <f>51133</f>
        <v>51133.0</v>
      </c>
      <c r="F22" s="27" t="n">
        <f>0.833</f>
        <v>0.833</v>
      </c>
      <c r="G22" s="25" t="n">
        <f>48641461607</f>
        <v>4.8641461607E10</v>
      </c>
      <c r="H22" s="26" t="n">
        <f>37530896807</f>
        <v>3.7530896807E10</v>
      </c>
      <c r="I22" s="27" t="n">
        <f>0.988</f>
        <v>0.988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5642</f>
        <v>5642.0</v>
      </c>
      <c r="E24" s="22" t="n">
        <f>0</f>
        <v>0.0</v>
      </c>
      <c r="F24" s="23" t="n">
        <f>0.145</f>
        <v>0.145</v>
      </c>
      <c r="G24" s="21" t="n">
        <f>88695789</f>
        <v>8.8695789E7</v>
      </c>
      <c r="H24" s="22" t="n">
        <f>0</f>
        <v>0.0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22366</f>
        <v>22366.0</v>
      </c>
      <c r="E25" s="22" t="n">
        <f>3925</f>
        <v>3925.0</v>
      </c>
      <c r="F25" s="23" t="n">
        <f>0.206</f>
        <v>0.206</v>
      </c>
      <c r="G25" s="21" t="n">
        <f>463691850</f>
        <v>4.6369185E8</v>
      </c>
      <c r="H25" s="22" t="n">
        <f>415262500</f>
        <v>4.152625E8</v>
      </c>
      <c r="I25" s="23" t="n">
        <f>0.012</f>
        <v>0.012</v>
      </c>
    </row>
    <row r="26" spans="1:9" ht="24.9" customHeight="1">
      <c r="A26" s="41"/>
      <c r="B26" s="39"/>
      <c r="C26" s="24" t="s">
        <v>18</v>
      </c>
      <c r="D26" s="25" t="n">
        <f>28008</f>
        <v>28008.0</v>
      </c>
      <c r="E26" s="26" t="n">
        <f>3925</f>
        <v>3925.0</v>
      </c>
      <c r="F26" s="27" t="n">
        <f>0.167</f>
        <v>0.167</v>
      </c>
      <c r="G26" s="25" t="n">
        <f>552387639</f>
        <v>5.52387639E8</v>
      </c>
      <c r="H26" s="26" t="n">
        <f>415262500</f>
        <v>4.152625E8</v>
      </c>
      <c r="I26" s="27" t="n">
        <f>0.011</f>
        <v>0.011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46128.0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46128.0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8250.0</v>
      </c>
      <c r="F12" s="18" t="n">
        <f>836</f>
        <v>836.0</v>
      </c>
      <c r="G12" s="17" t="n">
        <v>4.816151294E11</v>
      </c>
      <c r="H12" s="18" t="n">
        <f>48781819400</f>
        <v>4.87818194E10</v>
      </c>
    </row>
    <row r="13" spans="1:8" ht="24.9" customHeight="1">
      <c r="A13" s="51"/>
      <c r="B13" s="57"/>
      <c r="C13" s="39"/>
      <c r="D13" s="20" t="s">
        <v>16</v>
      </c>
      <c r="E13" s="21" t="n">
        <v>8588.0</v>
      </c>
      <c r="F13" s="22" t="n">
        <f>739</f>
        <v>739.0</v>
      </c>
      <c r="G13" s="21" t="n">
        <v>5.069078841E11</v>
      </c>
      <c r="H13" s="22" t="n">
        <f>43615664100</f>
        <v>4.36156641E10</v>
      </c>
    </row>
    <row r="14" spans="1:8" ht="24.9" customHeight="1">
      <c r="A14" s="51"/>
      <c r="B14" s="57"/>
      <c r="C14" s="39"/>
      <c r="D14" s="20" t="s">
        <v>17</v>
      </c>
      <c r="E14" s="21" t="n">
        <v>25923.0</v>
      </c>
      <c r="F14" s="22" t="n">
        <f>8566</f>
        <v>8566.0</v>
      </c>
      <c r="G14" s="21" t="n">
        <v>1.54463067004E12</v>
      </c>
      <c r="H14" s="22" t="n">
        <f>509912719040</f>
        <v>5.0991271904E11</v>
      </c>
    </row>
    <row r="15" spans="1:8" ht="24.9" customHeight="1">
      <c r="A15" s="51"/>
      <c r="B15" s="57"/>
      <c r="C15" s="39"/>
      <c r="D15" s="24" t="s">
        <v>18</v>
      </c>
      <c r="E15" s="25" t="n">
        <v>42761.0</v>
      </c>
      <c r="F15" s="26" t="n">
        <f>10141</f>
        <v>10141.0</v>
      </c>
      <c r="G15" s="25" t="n">
        <v>2.53315368354E12</v>
      </c>
      <c r="H15" s="26" t="n">
        <f>602310202540</f>
        <v>6.0231020254E11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152081.0</v>
      </c>
      <c r="F16" s="18" t="n">
        <f>19319</f>
        <v>19319.0</v>
      </c>
      <c r="G16" s="17" t="n">
        <v>8.8757616313E11</v>
      </c>
      <c r="H16" s="18" t="n">
        <f>112725781630</f>
        <v>1.1272578163E11</v>
      </c>
    </row>
    <row r="17" spans="1:8" ht="24.9" customHeight="1">
      <c r="A17" s="51"/>
      <c r="B17" s="57"/>
      <c r="C17" s="39"/>
      <c r="D17" s="20" t="s">
        <v>16</v>
      </c>
      <c r="E17" s="21" t="n">
        <v>141157.0</v>
      </c>
      <c r="F17" s="22" t="n">
        <f>18797</f>
        <v>18797.0</v>
      </c>
      <c r="G17" s="21" t="n">
        <v>8.3292457007E11</v>
      </c>
      <c r="H17" s="22" t="n">
        <f>110946892570</f>
        <v>1.1094689257E11</v>
      </c>
    </row>
    <row r="18" spans="1:8" ht="24.9" customHeight="1">
      <c r="A18" s="51"/>
      <c r="B18" s="57"/>
      <c r="C18" s="39"/>
      <c r="D18" s="20" t="s">
        <v>17</v>
      </c>
      <c r="E18" s="21" t="n">
        <v>192394.0</v>
      </c>
      <c r="F18" s="22" t="n">
        <f>26913</f>
        <v>26913.0</v>
      </c>
      <c r="G18" s="21" t="n">
        <v>1.146652817078E12</v>
      </c>
      <c r="H18" s="22" t="n">
        <f>160402999078</f>
        <v>1.60402999078E11</v>
      </c>
    </row>
    <row r="19" spans="1:8" ht="24.9" customHeight="1">
      <c r="A19" s="51"/>
      <c r="B19" s="57"/>
      <c r="C19" s="39"/>
      <c r="D19" s="24" t="s">
        <v>18</v>
      </c>
      <c r="E19" s="25" t="n">
        <v>485632.0</v>
      </c>
      <c r="F19" s="26" t="n">
        <f>65029</f>
        <v>65029.0</v>
      </c>
      <c r="G19" s="25" t="n">
        <v>2.867153550278E12</v>
      </c>
      <c r="H19" s="26" t="n">
        <f>384075673278</f>
        <v>3.84075673278E11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258007.0</v>
      </c>
      <c r="F20" s="18" t="str">
        <f>"－"</f>
        <v>－</v>
      </c>
      <c r="G20" s="17" t="n">
        <v>1.505713353E11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177709.0</v>
      </c>
      <c r="F21" s="22" t="str">
        <f>"－"</f>
        <v>－</v>
      </c>
      <c r="G21" s="21" t="n">
        <v>1.048659024E11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231296.0</v>
      </c>
      <c r="F22" s="22" t="str">
        <f>"－"</f>
        <v>－</v>
      </c>
      <c r="G22" s="21" t="n">
        <v>1.3783271695E11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667012.0</v>
      </c>
      <c r="F23" s="26" t="str">
        <f>"－"</f>
        <v>－</v>
      </c>
      <c r="G23" s="25" t="n">
        <v>3.9326995465E11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13492.0</v>
      </c>
      <c r="F24" s="18" t="n">
        <f>351</f>
        <v>351.0</v>
      </c>
      <c r="G24" s="17" t="n">
        <v>5.1106605908E11</v>
      </c>
      <c r="H24" s="18" t="n">
        <f>13258684080</f>
        <v>1.325868408E10</v>
      </c>
    </row>
    <row r="25" spans="1:8" ht="24.9" customHeight="1">
      <c r="A25" s="51"/>
      <c r="B25" s="57"/>
      <c r="C25" s="39"/>
      <c r="D25" s="20" t="s">
        <v>16</v>
      </c>
      <c r="E25" s="21" t="n">
        <v>13131.0</v>
      </c>
      <c r="F25" s="22" t="n">
        <f>542</f>
        <v>542.0</v>
      </c>
      <c r="G25" s="21" t="n">
        <v>5.0058510634E11</v>
      </c>
      <c r="H25" s="22" t="n">
        <f>20558235340</f>
        <v>2.055823534E10</v>
      </c>
    </row>
    <row r="26" spans="1:8" ht="24.9" customHeight="1">
      <c r="A26" s="51"/>
      <c r="B26" s="57"/>
      <c r="C26" s="39"/>
      <c r="D26" s="20" t="s">
        <v>17</v>
      </c>
      <c r="E26" s="21" t="n">
        <v>28473.0</v>
      </c>
      <c r="F26" s="22" t="n">
        <f>9798</f>
        <v>9798.0</v>
      </c>
      <c r="G26" s="21" t="n">
        <v>1.0880408917E12</v>
      </c>
      <c r="H26" s="22" t="n">
        <f>374290561700</f>
        <v>3.742905617E11</v>
      </c>
    </row>
    <row r="27" spans="1:8" ht="24.9" customHeight="1">
      <c r="A27" s="51"/>
      <c r="B27" s="57"/>
      <c r="C27" s="39"/>
      <c r="D27" s="24" t="s">
        <v>18</v>
      </c>
      <c r="E27" s="25" t="n">
        <v>55096.0</v>
      </c>
      <c r="F27" s="26" t="n">
        <f>10691</f>
        <v>10691.0</v>
      </c>
      <c r="G27" s="25" t="n">
        <v>2.09969205712E12</v>
      </c>
      <c r="H27" s="26" t="n">
        <f>408107481120</f>
        <v>4.0810748112E11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5199.0</v>
      </c>
      <c r="F28" s="18" t="n">
        <f>224</f>
        <v>224.0</v>
      </c>
      <c r="G28" s="17" t="n">
        <v>1.968835695E10</v>
      </c>
      <c r="H28" s="18" t="n">
        <f>847910200</f>
        <v>8.479102E8</v>
      </c>
    </row>
    <row r="29" spans="1:8" ht="24.9" customHeight="1">
      <c r="A29" s="51"/>
      <c r="B29" s="57"/>
      <c r="C29" s="39"/>
      <c r="D29" s="20" t="s">
        <v>16</v>
      </c>
      <c r="E29" s="21" t="n">
        <v>4269.0</v>
      </c>
      <c r="F29" s="22" t="n">
        <f>191</f>
        <v>191.0</v>
      </c>
      <c r="G29" s="21" t="n">
        <v>1.627745505E10</v>
      </c>
      <c r="H29" s="22" t="n">
        <f>728333050</f>
        <v>7.2833305E8</v>
      </c>
    </row>
    <row r="30" spans="1:8" ht="24.9" customHeight="1">
      <c r="A30" s="51"/>
      <c r="B30" s="57"/>
      <c r="C30" s="39"/>
      <c r="D30" s="20" t="s">
        <v>17</v>
      </c>
      <c r="E30" s="21" t="n">
        <v>6178.0</v>
      </c>
      <c r="F30" s="22" t="n">
        <f>191</f>
        <v>191.0</v>
      </c>
      <c r="G30" s="21" t="n">
        <v>2.36158016E10</v>
      </c>
      <c r="H30" s="22" t="n">
        <f>730355850</f>
        <v>7.3035585E8</v>
      </c>
    </row>
    <row r="31" spans="1:8" ht="24.9" customHeight="1">
      <c r="A31" s="51"/>
      <c r="B31" s="57"/>
      <c r="C31" s="39"/>
      <c r="D31" s="24" t="s">
        <v>18</v>
      </c>
      <c r="E31" s="25" t="n">
        <v>15646.0</v>
      </c>
      <c r="F31" s="26" t="n">
        <f>606</f>
        <v>606.0</v>
      </c>
      <c r="G31" s="25" t="n">
        <v>5.95816136E10</v>
      </c>
      <c r="H31" s="26" t="n">
        <f>2306599100</f>
        <v>2.3065991E9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504.0</v>
      </c>
      <c r="F36" s="18" t="n">
        <f>0</f>
        <v>0.0</v>
      </c>
      <c r="G36" s="17" t="n">
        <v>1.7270505E9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748.0</v>
      </c>
      <c r="F37" s="22" t="n">
        <f>1</f>
        <v>1.0</v>
      </c>
      <c r="G37" s="21" t="n">
        <v>2.5781695E9</v>
      </c>
      <c r="H37" s="22" t="n">
        <f>3458000</f>
        <v>3458000.0</v>
      </c>
    </row>
    <row r="38" spans="1:8" ht="24.9" customHeight="1">
      <c r="A38" s="51"/>
      <c r="B38" s="57"/>
      <c r="C38" s="39"/>
      <c r="D38" s="20" t="s">
        <v>17</v>
      </c>
      <c r="E38" s="21" t="n">
        <v>896.0</v>
      </c>
      <c r="F38" s="22" t="n">
        <f>23</f>
        <v>23.0</v>
      </c>
      <c r="G38" s="21" t="n">
        <v>3.10199601E9</v>
      </c>
      <c r="H38" s="22" t="n">
        <f>79665010</f>
        <v>7.966501E7</v>
      </c>
    </row>
    <row r="39" spans="1:8" ht="24.9" customHeight="1">
      <c r="A39" s="51"/>
      <c r="B39" s="57"/>
      <c r="C39" s="39"/>
      <c r="D39" s="24" t="s">
        <v>18</v>
      </c>
      <c r="E39" s="25" t="n">
        <v>2148.0</v>
      </c>
      <c r="F39" s="26" t="n">
        <f>24</f>
        <v>24.0</v>
      </c>
      <c r="G39" s="25" t="n">
        <v>7.40721601E9</v>
      </c>
      <c r="H39" s="26" t="n">
        <f>83123010</f>
        <v>8.312301E7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8.0</v>
      </c>
      <c r="F44" s="18" t="n">
        <f>8</f>
        <v>8.0</v>
      </c>
      <c r="G44" s="17" t="n">
        <v>4.9475232E7</v>
      </c>
      <c r="H44" s="18" t="n">
        <f>49475232</f>
        <v>4.9475232E7</v>
      </c>
    </row>
    <row r="45" spans="1:8" ht="24.9" customHeight="1">
      <c r="A45" s="51"/>
      <c r="B45" s="57"/>
      <c r="C45" s="39"/>
      <c r="D45" s="20" t="s">
        <v>16</v>
      </c>
      <c r="E45" s="21" t="n">
        <v>65.0</v>
      </c>
      <c r="F45" s="22" t="n">
        <f>65</f>
        <v>65.0</v>
      </c>
      <c r="G45" s="21" t="n">
        <v>4.0198132E8</v>
      </c>
      <c r="H45" s="22" t="n">
        <f>401981320</f>
        <v>4.0198132E8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73.0</v>
      </c>
      <c r="F47" s="26" t="n">
        <f>73</f>
        <v>73.0</v>
      </c>
      <c r="G47" s="25" t="n">
        <v>4.51456552E8</v>
      </c>
      <c r="H47" s="26" t="n">
        <f>451456552</f>
        <v>4.51456552E8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1.0</v>
      </c>
      <c r="F48" s="18" t="n">
        <f>1</f>
        <v>1.0</v>
      </c>
      <c r="G48" s="17" t="n">
        <v>1928000.0</v>
      </c>
      <c r="H48" s="18" t="n">
        <f>1928000</f>
        <v>1928000.0</v>
      </c>
    </row>
    <row r="49" spans="1:8" ht="24.9" customHeight="1">
      <c r="A49" s="51"/>
      <c r="B49" s="57"/>
      <c r="C49" s="39"/>
      <c r="D49" s="20" t="s">
        <v>16</v>
      </c>
      <c r="E49" s="21" t="n">
        <v>44.0</v>
      </c>
      <c r="F49" s="22" t="n">
        <f>0</f>
        <v>0.0</v>
      </c>
      <c r="G49" s="21" t="n">
        <v>8.4678E7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324.0</v>
      </c>
      <c r="F50" s="22" t="n">
        <f>239</f>
        <v>239.0</v>
      </c>
      <c r="G50" s="21" t="n">
        <v>6.25272058E8</v>
      </c>
      <c r="H50" s="22" t="n">
        <f>461465058</f>
        <v>4.61465058E8</v>
      </c>
    </row>
    <row r="51" spans="1:8" ht="24.9" customHeight="1">
      <c r="A51" s="51"/>
      <c r="B51" s="57"/>
      <c r="C51" s="39"/>
      <c r="D51" s="24" t="s">
        <v>18</v>
      </c>
      <c r="E51" s="25" t="n">
        <v>369.0</v>
      </c>
      <c r="F51" s="26" t="n">
        <f>240</f>
        <v>240.0</v>
      </c>
      <c r="G51" s="25" t="n">
        <v>7.11878058E8</v>
      </c>
      <c r="H51" s="26" t="n">
        <f>463393058</f>
        <v>4.63393058E8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614.0</v>
      </c>
      <c r="F56" s="18" t="n">
        <f>5</f>
        <v>5.0</v>
      </c>
      <c r="G56" s="17" t="n">
        <v>4.646601E8</v>
      </c>
      <c r="H56" s="18" t="n">
        <f>3783100</f>
        <v>3783100.0</v>
      </c>
    </row>
    <row r="57" spans="1:8" ht="24.9" customHeight="1">
      <c r="A57" s="51"/>
      <c r="B57" s="57"/>
      <c r="C57" s="39"/>
      <c r="D57" s="20" t="s">
        <v>16</v>
      </c>
      <c r="E57" s="21" t="n">
        <v>1256.0</v>
      </c>
      <c r="F57" s="22" t="n">
        <f>33</f>
        <v>33.0</v>
      </c>
      <c r="G57" s="21" t="n">
        <v>9.660898E8</v>
      </c>
      <c r="H57" s="22" t="n">
        <f>25385800</f>
        <v>2.53858E7</v>
      </c>
    </row>
    <row r="58" spans="1:8" ht="24.9" customHeight="1">
      <c r="A58" s="51"/>
      <c r="B58" s="57"/>
      <c r="C58" s="39"/>
      <c r="D58" s="20" t="s">
        <v>17</v>
      </c>
      <c r="E58" s="21" t="n">
        <v>2053.0</v>
      </c>
      <c r="F58" s="22" t="n">
        <f>203</f>
        <v>203.0</v>
      </c>
      <c r="G58" s="21" t="n">
        <v>1.58881472E9</v>
      </c>
      <c r="H58" s="22" t="n">
        <f>160698720</f>
        <v>1.6069872E8</v>
      </c>
    </row>
    <row r="59" spans="1:8" ht="24.9" customHeight="1">
      <c r="A59" s="51"/>
      <c r="B59" s="57"/>
      <c r="C59" s="39"/>
      <c r="D59" s="24" t="s">
        <v>18</v>
      </c>
      <c r="E59" s="25" t="n">
        <v>3923.0</v>
      </c>
      <c r="F59" s="26" t="n">
        <f>241</f>
        <v>241.0</v>
      </c>
      <c r="G59" s="25" t="n">
        <v>3.01956462E9</v>
      </c>
      <c r="H59" s="26" t="n">
        <f>189867620</f>
        <v>1.8986762E8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58.0</v>
      </c>
      <c r="F60" s="18" t="n">
        <f>3</f>
        <v>3.0</v>
      </c>
      <c r="G60" s="17" t="n">
        <v>2.822499E8</v>
      </c>
      <c r="H60" s="18" t="n">
        <f>14603100</f>
        <v>1.46031E7</v>
      </c>
    </row>
    <row r="61" spans="1:8" ht="24.9" customHeight="1">
      <c r="A61" s="51"/>
      <c r="B61" s="57"/>
      <c r="C61" s="39"/>
      <c r="D61" s="20" t="s">
        <v>16</v>
      </c>
      <c r="E61" s="21" t="n">
        <v>11.0</v>
      </c>
      <c r="F61" s="22" t="n">
        <f>0</f>
        <v>0.0</v>
      </c>
      <c r="G61" s="21" t="n">
        <v>5.36388E7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11.0</v>
      </c>
      <c r="F62" s="22" t="n">
        <f>1</f>
        <v>1.0</v>
      </c>
      <c r="G62" s="21" t="n">
        <v>5.36655E7</v>
      </c>
      <c r="H62" s="22" t="n">
        <f>4876600</f>
        <v>4876600.0</v>
      </c>
    </row>
    <row r="63" spans="1:8" ht="24.9" customHeight="1">
      <c r="A63" s="51"/>
      <c r="B63" s="57"/>
      <c r="C63" s="39"/>
      <c r="D63" s="24" t="s">
        <v>18</v>
      </c>
      <c r="E63" s="25" t="n">
        <v>80.0</v>
      </c>
      <c r="F63" s="26" t="n">
        <f>4</f>
        <v>4.0</v>
      </c>
      <c r="G63" s="25" t="n">
        <v>3.895542E8</v>
      </c>
      <c r="H63" s="26" t="n">
        <f>19479700</f>
        <v>1.94797E7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627000.0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7.0</v>
      </c>
      <c r="F78" s="22" t="n">
        <f>0</f>
        <v>0.0</v>
      </c>
      <c r="G78" s="21" t="n">
        <v>2189500.0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9.0</v>
      </c>
      <c r="F79" s="26" t="n">
        <f>0</f>
        <v>0.0</v>
      </c>
      <c r="G79" s="25" t="n">
        <v>2816500.0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936.0</v>
      </c>
      <c r="F92" s="18" t="n">
        <f>0</f>
        <v>0.0</v>
      </c>
      <c r="G92" s="17" t="n">
        <v>1.4795381E9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236.0</v>
      </c>
      <c r="F93" s="22" t="n">
        <f>0</f>
        <v>0.0</v>
      </c>
      <c r="G93" s="21" t="n">
        <v>3.728556E8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1075.0</v>
      </c>
      <c r="F94" s="22" t="n">
        <f>0</f>
        <v>0.0</v>
      </c>
      <c r="G94" s="21" t="n">
        <v>1.6963947E9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2247.0</v>
      </c>
      <c r="F95" s="26" t="n">
        <f>0</f>
        <v>0.0</v>
      </c>
      <c r="G95" s="25" t="n">
        <v>3.5487884E9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0.0</v>
      </c>
      <c r="F96" s="18" t="n">
        <f>0</f>
        <v>0.0</v>
      </c>
      <c r="G96" s="17" t="n">
        <v>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0.0</v>
      </c>
      <c r="F99" s="26" t="n">
        <f>0</f>
        <v>0.0</v>
      </c>
      <c r="G99" s="25" t="n">
        <v>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9321.0</v>
      </c>
      <c r="F108" s="18" t="n">
        <f>978</f>
        <v>978.0</v>
      </c>
      <c r="G108" s="17" t="n">
        <v>1.21182659E12</v>
      </c>
      <c r="H108" s="18" t="n">
        <f>127194610000</f>
        <v>1.2719461E11</v>
      </c>
    </row>
    <row r="109" spans="1:8" ht="24.9" customHeight="1">
      <c r="A109" s="51"/>
      <c r="B109" s="57"/>
      <c r="C109" s="39"/>
      <c r="D109" s="20" t="s">
        <v>16</v>
      </c>
      <c r="E109" s="21" t="n">
        <v>10091.0</v>
      </c>
      <c r="F109" s="22" t="n">
        <f>2824</f>
        <v>2824.0</v>
      </c>
      <c r="G109" s="21" t="n">
        <v>1.31146804E12</v>
      </c>
      <c r="H109" s="22" t="n">
        <f>367047270000</f>
        <v>3.6704727E11</v>
      </c>
    </row>
    <row r="110" spans="1:8" ht="24.9" customHeight="1">
      <c r="A110" s="51"/>
      <c r="B110" s="57"/>
      <c r="C110" s="39"/>
      <c r="D110" s="20" t="s">
        <v>17</v>
      </c>
      <c r="E110" s="21" t="n">
        <v>13416.0</v>
      </c>
      <c r="F110" s="22" t="n">
        <f>522</f>
        <v>522.0</v>
      </c>
      <c r="G110" s="21" t="n">
        <v>1.74510638E12</v>
      </c>
      <c r="H110" s="22" t="n">
        <f>67892970000</f>
        <v>6.789297E10</v>
      </c>
    </row>
    <row r="111" spans="1:8" ht="24.9" customHeight="1">
      <c r="A111" s="51"/>
      <c r="B111" s="57"/>
      <c r="C111" s="39"/>
      <c r="D111" s="24" t="s">
        <v>18</v>
      </c>
      <c r="E111" s="25" t="n">
        <v>32828.0</v>
      </c>
      <c r="F111" s="26" t="n">
        <f>4324</f>
        <v>4324.0</v>
      </c>
      <c r="G111" s="25" t="n">
        <v>4.26840101E12</v>
      </c>
      <c r="H111" s="26" t="n">
        <f>562134850000</f>
        <v>5.6213485E11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270.0</v>
      </c>
      <c r="F113" s="22" t="n">
        <f>0</f>
        <v>0.0</v>
      </c>
      <c r="G113" s="21" t="n">
        <v>3.50886E9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632.0</v>
      </c>
      <c r="F114" s="22" t="n">
        <f>0</f>
        <v>0.0</v>
      </c>
      <c r="G114" s="21" t="n">
        <v>8.219974E9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902.0</v>
      </c>
      <c r="F115" s="26" t="n">
        <f>0</f>
        <v>0.0</v>
      </c>
      <c r="G115" s="25" t="n">
        <v>1.1728834E10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510.0</v>
      </c>
      <c r="F118" s="22" t="n">
        <f>0</f>
        <v>0.0</v>
      </c>
      <c r="G118" s="21" t="n">
        <v>4.88688E9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510.0</v>
      </c>
      <c r="F119" s="26" t="n">
        <f>0</f>
        <v>0.0</v>
      </c>
      <c r="G119" s="25" t="n">
        <v>4.88688E9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842.0</v>
      </c>
      <c r="F120" s="18" t="n">
        <f>40</f>
        <v>40.0</v>
      </c>
      <c r="G120" s="17" t="n">
        <v>2.08867E10</v>
      </c>
      <c r="H120" s="18" t="n">
        <f>992325000</f>
        <v>9.92325E8</v>
      </c>
    </row>
    <row r="121" spans="1:8" ht="24.9" customHeight="1">
      <c r="A121" s="51"/>
      <c r="B121" s="54"/>
      <c r="C121" s="39"/>
      <c r="D121" s="20" t="s">
        <v>16</v>
      </c>
      <c r="E121" s="21" t="n">
        <v>215.0</v>
      </c>
      <c r="F121" s="22" t="n">
        <f>0</f>
        <v>0.0</v>
      </c>
      <c r="G121" s="21" t="n">
        <v>5.330171875E9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940.0</v>
      </c>
      <c r="F122" s="22" t="n">
        <f>0</f>
        <v>0.0</v>
      </c>
      <c r="G122" s="21" t="n">
        <v>2.331226125E10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1997.0</v>
      </c>
      <c r="F123" s="26" t="n">
        <f>40</f>
        <v>40.0</v>
      </c>
      <c r="G123" s="25" t="n">
        <v>4.9529133125E10</v>
      </c>
      <c r="H123" s="26" t="n">
        <f>992325000</f>
        <v>9.92325E8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5040.0</v>
      </c>
      <c r="F124" s="18" t="n">
        <f>0</f>
        <v>0.0</v>
      </c>
      <c r="G124" s="17" t="n">
        <v>1.27466012E11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1905.0</v>
      </c>
      <c r="F125" s="22" t="n">
        <f>0</f>
        <v>0.0</v>
      </c>
      <c r="G125" s="21" t="n">
        <v>4.8357459E10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2173.0</v>
      </c>
      <c r="F126" s="22" t="n">
        <f>0</f>
        <v>0.0</v>
      </c>
      <c r="G126" s="21" t="n">
        <v>5.5131538E10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9118.0</v>
      </c>
      <c r="F127" s="26" t="n">
        <f>0</f>
        <v>0.0</v>
      </c>
      <c r="G127" s="25" t="n">
        <v>2.30955009E11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101.0</v>
      </c>
      <c r="F128" s="18" t="n">
        <f>0</f>
        <v>0.0</v>
      </c>
      <c r="G128" s="17" t="n">
        <v>2.557134E8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69.0</v>
      </c>
      <c r="F129" s="22" t="n">
        <f>0</f>
        <v>0.0</v>
      </c>
      <c r="G129" s="21" t="n">
        <v>1.752799E8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357.0</v>
      </c>
      <c r="F130" s="22" t="n">
        <f>0</f>
        <v>0.0</v>
      </c>
      <c r="G130" s="21" t="n">
        <v>9.071749E8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527.0</v>
      </c>
      <c r="F131" s="26" t="n">
        <f>0</f>
        <v>0.0</v>
      </c>
      <c r="G131" s="25" t="n">
        <v>1.3381682E9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4233.0</v>
      </c>
      <c r="F132" s="18" t="n">
        <f>0</f>
        <v>0.0</v>
      </c>
      <c r="G132" s="17" t="n">
        <v>1.073302465E10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1238.0</v>
      </c>
      <c r="F133" s="22" t="n">
        <f>0</f>
        <v>0.0</v>
      </c>
      <c r="G133" s="21" t="n">
        <v>3.14990765E9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1602.0</v>
      </c>
      <c r="F134" s="22" t="n">
        <f>0</f>
        <v>0.0</v>
      </c>
      <c r="G134" s="21" t="n">
        <v>4.0742769E9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7073.0</v>
      </c>
      <c r="F135" s="26" t="n">
        <f>0</f>
        <v>0.0</v>
      </c>
      <c r="G135" s="25" t="n">
        <v>1.79572092E10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123.0</v>
      </c>
      <c r="F136" s="18" t="n">
        <f>0</f>
        <v>0.0</v>
      </c>
      <c r="G136" s="17" t="n">
        <v>3.087714E8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72.0</v>
      </c>
      <c r="F137" s="22" t="n">
        <f>0</f>
        <v>0.0</v>
      </c>
      <c r="G137" s="21" t="n">
        <v>1.813135E8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73.0</v>
      </c>
      <c r="F138" s="22" t="n">
        <f>0</f>
        <v>0.0</v>
      </c>
      <c r="G138" s="21" t="n">
        <v>1.838182E8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268.0</v>
      </c>
      <c r="F139" s="26" t="n">
        <f>0</f>
        <v>0.0</v>
      </c>
      <c r="G139" s="25" t="n">
        <v>6.739031E8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7.0</v>
      </c>
      <c r="F140" s="18" t="n">
        <f>0</f>
        <v>0.0</v>
      </c>
      <c r="G140" s="17" t="n">
        <v>8.0451E7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1.2807E7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1.245E7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9.0</v>
      </c>
      <c r="F143" s="26" t="n">
        <f>0</f>
        <v>0.0</v>
      </c>
      <c r="G143" s="25" t="n">
        <v>1.05708E8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1365.0</v>
      </c>
      <c r="F144" s="18" t="n">
        <f>0</f>
        <v>0.0</v>
      </c>
      <c r="G144" s="17" t="n">
        <v>7.291685E9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536.0</v>
      </c>
      <c r="F145" s="22" t="n">
        <f>0</f>
        <v>0.0</v>
      </c>
      <c r="G145" s="21" t="n">
        <v>2.889725E9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1204.0</v>
      </c>
      <c r="F146" s="22" t="n">
        <f>0</f>
        <v>0.0</v>
      </c>
      <c r="G146" s="21" t="n">
        <v>6.5189495E9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3105.0</v>
      </c>
      <c r="F147" s="26" t="n">
        <f>0</f>
        <v>0.0</v>
      </c>
      <c r="G147" s="25" t="n">
        <v>1.67003595E10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449.0</v>
      </c>
      <c r="F148" s="18" t="n">
        <f>0</f>
        <v>0.0</v>
      </c>
      <c r="G148" s="17" t="n">
        <v>4.883414E8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384.0</v>
      </c>
      <c r="F149" s="22" t="n">
        <f>0</f>
        <v>0.0</v>
      </c>
      <c r="G149" s="21" t="n">
        <v>4.20035E8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1168.0</v>
      </c>
      <c r="F150" s="22" t="n">
        <f>0</f>
        <v>0.0</v>
      </c>
      <c r="G150" s="21" t="n">
        <v>1.2924553E9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2001.0</v>
      </c>
      <c r="F151" s="26" t="n">
        <f>0</f>
        <v>0.0</v>
      </c>
      <c r="G151" s="25" t="n">
        <v>2.2008317E9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227.0</v>
      </c>
      <c r="F152" s="18" t="n">
        <f>0</f>
        <v>0.0</v>
      </c>
      <c r="G152" s="17" t="n">
        <v>2.4272915E8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109.0</v>
      </c>
      <c r="F153" s="22" t="n">
        <f>0</f>
        <v>0.0</v>
      </c>
      <c r="G153" s="21" t="n">
        <v>1.1749005E8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207.0</v>
      </c>
      <c r="F154" s="22" t="n">
        <f>0</f>
        <v>0.0</v>
      </c>
      <c r="G154" s="21" t="n">
        <v>2.244538E8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543.0</v>
      </c>
      <c r="F155" s="26" t="n">
        <f>0</f>
        <v>0.0</v>
      </c>
      <c r="G155" s="25" t="n">
        <v>5.84673E8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645.0</v>
      </c>
      <c r="F156" s="18" t="n">
        <f>0</f>
        <v>0.0</v>
      </c>
      <c r="G156" s="17" t="n">
        <v>7.009469E8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367.0</v>
      </c>
      <c r="F157" s="22" t="n">
        <f>0</f>
        <v>0.0</v>
      </c>
      <c r="G157" s="21" t="n">
        <v>4.024978E8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560.0</v>
      </c>
      <c r="F158" s="22" t="n">
        <f>0</f>
        <v>0.0</v>
      </c>
      <c r="G158" s="21" t="n">
        <v>6.174347E8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1572.0</v>
      </c>
      <c r="F159" s="26" t="n">
        <f>0</f>
        <v>0.0</v>
      </c>
      <c r="G159" s="25" t="n">
        <v>1.7208794E9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18.0</v>
      </c>
      <c r="F168" s="18" t="n">
        <f>0</f>
        <v>0.0</v>
      </c>
      <c r="G168" s="17" t="n">
        <v>3.4513E7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164.0</v>
      </c>
      <c r="F169" s="22" t="n">
        <f>0</f>
        <v>0.0</v>
      </c>
      <c r="G169" s="21" t="n">
        <v>3.171885E8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426.0</v>
      </c>
      <c r="F170" s="22" t="n">
        <f>140</f>
        <v>140.0</v>
      </c>
      <c r="G170" s="21" t="n">
        <v>8.19613E8</v>
      </c>
      <c r="H170" s="22" t="n">
        <f>263900000</f>
        <v>2.639E8</v>
      </c>
    </row>
    <row r="171" spans="1:8" ht="24.9" customHeight="1">
      <c r="A171" s="51"/>
      <c r="B171" s="57"/>
      <c r="C171" s="39"/>
      <c r="D171" s="24" t="s">
        <v>18</v>
      </c>
      <c r="E171" s="25" t="n">
        <v>608.0</v>
      </c>
      <c r="F171" s="26" t="n">
        <f>140</f>
        <v>140.0</v>
      </c>
      <c r="G171" s="25" t="n">
        <v>1.1713145E9</v>
      </c>
      <c r="H171" s="26" t="n">
        <f>263900000</f>
        <v>2.639E8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8.0</v>
      </c>
      <c r="F176" s="18" t="n">
        <f>0</f>
        <v>0.0</v>
      </c>
      <c r="G176" s="17" t="n">
        <v>1.346E7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4.0</v>
      </c>
      <c r="F177" s="22" t="n">
        <f>0</f>
        <v>0.0</v>
      </c>
      <c r="G177" s="21" t="n">
        <v>6660000.0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12.0</v>
      </c>
      <c r="F179" s="26" t="n">
        <f>0</f>
        <v>0.0</v>
      </c>
      <c r="G179" s="25" t="n">
        <v>2.012E7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271.0</v>
      </c>
      <c r="F204" s="18" t="n">
        <f>0</f>
        <v>0.0</v>
      </c>
      <c r="G204" s="17" t="n">
        <v>1.130102E9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153.0</v>
      </c>
      <c r="F205" s="22" t="n">
        <f>0</f>
        <v>0.0</v>
      </c>
      <c r="G205" s="21" t="n">
        <v>6.288455E8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1044.0</v>
      </c>
      <c r="F206" s="22" t="n">
        <f>0</f>
        <v>0.0</v>
      </c>
      <c r="G206" s="21" t="n">
        <v>4.3119E9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1468.0</v>
      </c>
      <c r="F207" s="26" t="n">
        <f>0</f>
        <v>0.0</v>
      </c>
      <c r="G207" s="25" t="n">
        <v>6.0708475E9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20.0</v>
      </c>
      <c r="F208" s="18" t="n">
        <f>20</f>
        <v>20.0</v>
      </c>
      <c r="G208" s="17" t="n">
        <v>2.952E7</v>
      </c>
      <c r="H208" s="18" t="n">
        <f>29520000</f>
        <v>2.952E7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20.0</v>
      </c>
      <c r="F211" s="26" t="n">
        <f>20</f>
        <v>20.0</v>
      </c>
      <c r="G211" s="25" t="n">
        <v>2.952E7</v>
      </c>
      <c r="H211" s="26" t="n">
        <f>29520000</f>
        <v>2.952E7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10.0</v>
      </c>
      <c r="F272" s="18" t="n">
        <f>10</f>
        <v>10.0</v>
      </c>
      <c r="G272" s="17" t="n">
        <v>2.618E7</v>
      </c>
      <c r="H272" s="18" t="n">
        <f>26180000</f>
        <v>2.618E7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10.0</v>
      </c>
      <c r="F275" s="26" t="n">
        <f>10</f>
        <v>10.0</v>
      </c>
      <c r="G275" s="25" t="n">
        <v>2.618E7</v>
      </c>
      <c r="H275" s="26" t="n">
        <f>26180000</f>
        <v>2.618E7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46128.0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46128.0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4714</f>
        <v>4714.0</v>
      </c>
      <c r="E12" s="35" t="n">
        <f>1835</f>
        <v>1835.0</v>
      </c>
      <c r="F12" s="17" t="n">
        <f>1479</f>
        <v>1479.0</v>
      </c>
      <c r="G12" s="35" t="n">
        <f>624</f>
        <v>624.0</v>
      </c>
      <c r="H12" s="17" t="n">
        <f>6193</f>
        <v>6193.0</v>
      </c>
      <c r="I12" s="35" t="n">
        <f>2459</f>
        <v>2459.0</v>
      </c>
      <c r="J12" s="17" t="n">
        <f>1136096950</f>
        <v>1.13609695E9</v>
      </c>
      <c r="K12" s="35" t="n">
        <f>300204950</f>
        <v>3.0020495E8</v>
      </c>
      <c r="L12" s="17" t="n">
        <f>1306402380</f>
        <v>1.30640238E9</v>
      </c>
      <c r="M12" s="35" t="n">
        <f>968413380</f>
        <v>9.6841338E8</v>
      </c>
      <c r="N12" s="17" t="n">
        <f>2442499330</f>
        <v>2.44249933E9</v>
      </c>
      <c r="O12" s="35" t="n">
        <f>1268618330</f>
        <v>1.26861833E9</v>
      </c>
    </row>
    <row r="13" spans="1:15" ht="24.9" customHeight="1">
      <c r="A13" s="38"/>
      <c r="B13" s="62"/>
      <c r="C13" s="20" t="s">
        <v>16</v>
      </c>
      <c r="D13" s="21" t="n">
        <f>6961</f>
        <v>6961.0</v>
      </c>
      <c r="E13" s="36" t="n">
        <f>3083</f>
        <v>3083.0</v>
      </c>
      <c r="F13" s="21" t="n">
        <f>4957</f>
        <v>4957.0</v>
      </c>
      <c r="G13" s="36" t="n">
        <f>2038</f>
        <v>2038.0</v>
      </c>
      <c r="H13" s="21" t="n">
        <f>11918</f>
        <v>11918.0</v>
      </c>
      <c r="I13" s="36" t="n">
        <f>5121</f>
        <v>5121.0</v>
      </c>
      <c r="J13" s="21" t="n">
        <f>3951174750</f>
        <v>3.95117475E9</v>
      </c>
      <c r="K13" s="36" t="n">
        <f>3010976750</f>
        <v>3.01097675E9</v>
      </c>
      <c r="L13" s="21" t="n">
        <f>3598484970</f>
        <v>3.59848497E9</v>
      </c>
      <c r="M13" s="36" t="n">
        <f>2497329970</f>
        <v>2.49732997E9</v>
      </c>
      <c r="N13" s="21" t="n">
        <f>7549659720</f>
        <v>7.54965972E9</v>
      </c>
      <c r="O13" s="36" t="n">
        <f>5508306720</f>
        <v>5.50830672E9</v>
      </c>
    </row>
    <row r="14" spans="1:15" ht="24.9" customHeight="1">
      <c r="A14" s="38"/>
      <c r="B14" s="62"/>
      <c r="C14" s="20" t="s">
        <v>17</v>
      </c>
      <c r="D14" s="21" t="n">
        <f>33739</f>
        <v>33739.0</v>
      </c>
      <c r="E14" s="36" t="n">
        <f>23839</f>
        <v>23839.0</v>
      </c>
      <c r="F14" s="21" t="n">
        <f>14389</f>
        <v>14389.0</v>
      </c>
      <c r="G14" s="36" t="n">
        <f>8685</f>
        <v>8685.0</v>
      </c>
      <c r="H14" s="21" t="n">
        <f>48128</f>
        <v>48128.0</v>
      </c>
      <c r="I14" s="36" t="n">
        <f>32524</f>
        <v>32524.0</v>
      </c>
      <c r="J14" s="21" t="n">
        <f>17820588315</f>
        <v>1.7820588315E10</v>
      </c>
      <c r="K14" s="36" t="n">
        <f>14621647315</f>
        <v>1.4621647315E10</v>
      </c>
      <c r="L14" s="21" t="n">
        <f>15386195759</f>
        <v>1.5386195759E10</v>
      </c>
      <c r="M14" s="36" t="n">
        <f>12890338759</f>
        <v>1.2890338759E10</v>
      </c>
      <c r="N14" s="21" t="n">
        <f>33206784074</f>
        <v>3.3206784074E10</v>
      </c>
      <c r="O14" s="36" t="n">
        <f>27511986074</f>
        <v>2.7511986074E10</v>
      </c>
    </row>
    <row r="15" spans="1:15" ht="24.9" customHeight="1">
      <c r="A15" s="38"/>
      <c r="B15" s="62"/>
      <c r="C15" s="24" t="s">
        <v>18</v>
      </c>
      <c r="D15" s="25" t="n">
        <f>45414</f>
        <v>45414.0</v>
      </c>
      <c r="E15" s="37" t="n">
        <f>28757</f>
        <v>28757.0</v>
      </c>
      <c r="F15" s="25" t="n">
        <f>20825</f>
        <v>20825.0</v>
      </c>
      <c r="G15" s="37" t="n">
        <f>11347</f>
        <v>11347.0</v>
      </c>
      <c r="H15" s="25" t="n">
        <f>66239</f>
        <v>66239.0</v>
      </c>
      <c r="I15" s="37" t="n">
        <f>40104</f>
        <v>40104.0</v>
      </c>
      <c r="J15" s="25" t="n">
        <f>22907860015</f>
        <v>2.2907860015E10</v>
      </c>
      <c r="K15" s="37" t="n">
        <f>17932829015</f>
        <v>1.7932829015E10</v>
      </c>
      <c r="L15" s="25" t="n">
        <f>20291083109</f>
        <v>2.0291083109E10</v>
      </c>
      <c r="M15" s="37" t="n">
        <f>16356082109</f>
        <v>1.6356082109E10</v>
      </c>
      <c r="N15" s="25" t="n">
        <f>43198943124</f>
        <v>4.3198943124E10</v>
      </c>
      <c r="O15" s="37" t="n">
        <f>34288911124</f>
        <v>3.4288911124E10</v>
      </c>
    </row>
    <row r="16" spans="1:15" ht="24.9" customHeight="1">
      <c r="A16" s="38"/>
      <c r="B16" s="61" t="s">
        <v>105</v>
      </c>
      <c r="C16" s="16" t="s">
        <v>15</v>
      </c>
      <c r="D16" s="17" t="n">
        <f>7554</f>
        <v>7554.0</v>
      </c>
      <c r="E16" s="35" t="n">
        <f>1180</f>
        <v>1180.0</v>
      </c>
      <c r="F16" s="17" t="n">
        <f>6841</f>
        <v>6841.0</v>
      </c>
      <c r="G16" s="35" t="n">
        <f>490</f>
        <v>490.0</v>
      </c>
      <c r="H16" s="17" t="n">
        <f>14395</f>
        <v>14395.0</v>
      </c>
      <c r="I16" s="35" t="n">
        <f>1670</f>
        <v>1670.0</v>
      </c>
      <c r="J16" s="17" t="n">
        <f>136514420</f>
        <v>1.3651442E8</v>
      </c>
      <c r="K16" s="35" t="n">
        <f>4414020</f>
        <v>4414020.0</v>
      </c>
      <c r="L16" s="17" t="n">
        <f>228907450</f>
        <v>2.2890745E8</v>
      </c>
      <c r="M16" s="35" t="n">
        <f>3838850</f>
        <v>3838850.0</v>
      </c>
      <c r="N16" s="17" t="n">
        <f>365421870</f>
        <v>3.6542187E8</v>
      </c>
      <c r="O16" s="35" t="n">
        <f>8252870</f>
        <v>8252870.0</v>
      </c>
    </row>
    <row r="17" spans="1:15" ht="24.9" customHeight="1">
      <c r="A17" s="38"/>
      <c r="B17" s="62"/>
      <c r="C17" s="20" t="s">
        <v>16</v>
      </c>
      <c r="D17" s="21" t="n">
        <f>14263</f>
        <v>14263.0</v>
      </c>
      <c r="E17" s="36" t="n">
        <f>1760</f>
        <v>1760.0</v>
      </c>
      <c r="F17" s="21" t="n">
        <f>7112</f>
        <v>7112.0</v>
      </c>
      <c r="G17" s="36" t="n">
        <f>480</f>
        <v>480.0</v>
      </c>
      <c r="H17" s="21" t="n">
        <f>21375</f>
        <v>21375.0</v>
      </c>
      <c r="I17" s="36" t="n">
        <f>2240</f>
        <v>2240.0</v>
      </c>
      <c r="J17" s="21" t="n">
        <f>192171320</f>
        <v>1.9217132E8</v>
      </c>
      <c r="K17" s="36" t="n">
        <f>9027520</f>
        <v>9027520.0</v>
      </c>
      <c r="L17" s="21" t="n">
        <f>248181180</f>
        <v>2.4818118E8</v>
      </c>
      <c r="M17" s="36" t="n">
        <f>3660780</f>
        <v>3660780.0</v>
      </c>
      <c r="N17" s="21" t="n">
        <f>440352500</f>
        <v>4.403525E8</v>
      </c>
      <c r="O17" s="36" t="n">
        <f>12688300</f>
        <v>1.26883E7</v>
      </c>
    </row>
    <row r="18" spans="1:15" ht="24.9" customHeight="1">
      <c r="A18" s="38"/>
      <c r="B18" s="62"/>
      <c r="C18" s="20" t="s">
        <v>17</v>
      </c>
      <c r="D18" s="21" t="n">
        <f>21622</f>
        <v>21622.0</v>
      </c>
      <c r="E18" s="36" t="n">
        <f>3330</f>
        <v>3330.0</v>
      </c>
      <c r="F18" s="21" t="n">
        <f>13666</f>
        <v>13666.0</v>
      </c>
      <c r="G18" s="36" t="n">
        <f>1190</f>
        <v>1190.0</v>
      </c>
      <c r="H18" s="21" t="n">
        <f>35288</f>
        <v>35288.0</v>
      </c>
      <c r="I18" s="36" t="n">
        <f>4520</f>
        <v>4520.0</v>
      </c>
      <c r="J18" s="21" t="n">
        <f>449047400</f>
        <v>4.490474E8</v>
      </c>
      <c r="K18" s="36" t="n">
        <f>32274500</f>
        <v>3.22745E7</v>
      </c>
      <c r="L18" s="21" t="n">
        <f>1006181770</f>
        <v>1.00618177E9</v>
      </c>
      <c r="M18" s="36" t="n">
        <f>28745070</f>
        <v>2.874507E7</v>
      </c>
      <c r="N18" s="21" t="n">
        <f>1455229170</f>
        <v>1.45522917E9</v>
      </c>
      <c r="O18" s="36" t="n">
        <f>61019570</f>
        <v>6.101957E7</v>
      </c>
    </row>
    <row r="19" spans="1:15" ht="24.9" customHeight="1">
      <c r="A19" s="38"/>
      <c r="B19" s="62"/>
      <c r="C19" s="24" t="s">
        <v>18</v>
      </c>
      <c r="D19" s="25" t="n">
        <f>43439</f>
        <v>43439.0</v>
      </c>
      <c r="E19" s="37" t="n">
        <f>6270</f>
        <v>6270.0</v>
      </c>
      <c r="F19" s="25" t="n">
        <f>27619</f>
        <v>27619.0</v>
      </c>
      <c r="G19" s="37" t="n">
        <f>2160</f>
        <v>2160.0</v>
      </c>
      <c r="H19" s="25" t="n">
        <f>71058</f>
        <v>71058.0</v>
      </c>
      <c r="I19" s="37" t="n">
        <f>8430</f>
        <v>8430.0</v>
      </c>
      <c r="J19" s="25" t="n">
        <f>777733140</f>
        <v>7.7773314E8</v>
      </c>
      <c r="K19" s="37" t="n">
        <f>45716040</f>
        <v>4.571604E7</v>
      </c>
      <c r="L19" s="25" t="n">
        <f>1483270400</f>
        <v>1.4832704E9</v>
      </c>
      <c r="M19" s="37" t="n">
        <f>36244700</f>
        <v>3.62447E7</v>
      </c>
      <c r="N19" s="25" t="n">
        <f>2261003540</f>
        <v>2.26100354E9</v>
      </c>
      <c r="O19" s="37" t="n">
        <f>81960740</f>
        <v>8.196074E7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56</f>
        <v>56.0</v>
      </c>
      <c r="G21" s="36" t="n">
        <f>0</f>
        <v>0.0</v>
      </c>
      <c r="H21" s="21" t="n">
        <f>56</f>
        <v>56.0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20500000</f>
        <v>2.05E7</v>
      </c>
      <c r="M21" s="36" t="n">
        <f>0</f>
        <v>0.0</v>
      </c>
      <c r="N21" s="21" t="n">
        <f>20500000</f>
        <v>2.05E7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1099</f>
        <v>1099.0</v>
      </c>
      <c r="E22" s="36" t="n">
        <f>1099</f>
        <v>1099.0</v>
      </c>
      <c r="F22" s="21" t="n">
        <f>1503</f>
        <v>1503.0</v>
      </c>
      <c r="G22" s="36" t="n">
        <f>1500</f>
        <v>1500.0</v>
      </c>
      <c r="H22" s="21" t="n">
        <f>2602</f>
        <v>2602.0</v>
      </c>
      <c r="I22" s="36" t="n">
        <f>2599</f>
        <v>2599.0</v>
      </c>
      <c r="J22" s="21" t="n">
        <f>2387524943</f>
        <v>2.387524943E9</v>
      </c>
      <c r="K22" s="36" t="n">
        <f>2387524943</f>
        <v>2.387524943E9</v>
      </c>
      <c r="L22" s="21" t="n">
        <f>773490000</f>
        <v>7.7349E8</v>
      </c>
      <c r="M22" s="36" t="n">
        <f>772500000</f>
        <v>7.725E8</v>
      </c>
      <c r="N22" s="21" t="n">
        <f>3161014943</f>
        <v>3.161014943E9</v>
      </c>
      <c r="O22" s="36" t="n">
        <f>3160024943</f>
        <v>3.160024943E9</v>
      </c>
    </row>
    <row r="23" spans="1:15" ht="24.9" customHeight="1">
      <c r="A23" s="38"/>
      <c r="B23" s="62"/>
      <c r="C23" s="24" t="s">
        <v>18</v>
      </c>
      <c r="D23" s="25" t="n">
        <f>1099</f>
        <v>1099.0</v>
      </c>
      <c r="E23" s="37" t="n">
        <f>1099</f>
        <v>1099.0</v>
      </c>
      <c r="F23" s="25" t="n">
        <f>1559</f>
        <v>1559.0</v>
      </c>
      <c r="G23" s="37" t="n">
        <f>1500</f>
        <v>1500.0</v>
      </c>
      <c r="H23" s="25" t="n">
        <f>2658</f>
        <v>2658.0</v>
      </c>
      <c r="I23" s="37" t="n">
        <f>2599</f>
        <v>2599.0</v>
      </c>
      <c r="J23" s="25" t="n">
        <f>2387524943</f>
        <v>2.387524943E9</v>
      </c>
      <c r="K23" s="37" t="n">
        <f>2387524943</f>
        <v>2.387524943E9</v>
      </c>
      <c r="L23" s="25" t="n">
        <f>793990000</f>
        <v>7.9399E8</v>
      </c>
      <c r="M23" s="37" t="n">
        <f>772500000</f>
        <v>7.725E8</v>
      </c>
      <c r="N23" s="25" t="n">
        <f>3181514943</f>
        <v>3.181514943E9</v>
      </c>
      <c r="O23" s="37" t="n">
        <f>3160024943</f>
        <v>3.160024943E9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36</f>
        <v>36.0</v>
      </c>
      <c r="E37" s="22" t="n">
        <f>30</f>
        <v>30.0</v>
      </c>
      <c r="F37" s="21" t="n">
        <f>0</f>
        <v>0.0</v>
      </c>
      <c r="G37" s="22" t="n">
        <f>0</f>
        <v>0.0</v>
      </c>
      <c r="H37" s="21" t="n">
        <f>36</f>
        <v>36.0</v>
      </c>
      <c r="I37" s="22" t="n">
        <f>30</f>
        <v>30.0</v>
      </c>
      <c r="J37" s="21" t="n">
        <f>7170000</f>
        <v>7170000.0</v>
      </c>
      <c r="K37" s="22" t="n">
        <f>6600000</f>
        <v>6600000.0</v>
      </c>
      <c r="L37" s="21" t="n">
        <f>0</f>
        <v>0.0</v>
      </c>
      <c r="M37" s="22" t="n">
        <f>0</f>
        <v>0.0</v>
      </c>
      <c r="N37" s="21" t="n">
        <f>7170000</f>
        <v>7170000.0</v>
      </c>
      <c r="O37" s="22" t="n">
        <f>6600000</f>
        <v>6600000.0</v>
      </c>
    </row>
    <row r="38" spans="1:15" ht="24.9" customHeight="1">
      <c r="A38" s="38"/>
      <c r="B38" s="62"/>
      <c r="C38" s="20" t="s">
        <v>17</v>
      </c>
      <c r="D38" s="21" t="n">
        <f>29</f>
        <v>29.0</v>
      </c>
      <c r="E38" s="36" t="n">
        <f>0</f>
        <v>0.0</v>
      </c>
      <c r="F38" s="21" t="n">
        <f>37</f>
        <v>37.0</v>
      </c>
      <c r="G38" s="36" t="n">
        <f>0</f>
        <v>0.0</v>
      </c>
      <c r="H38" s="21" t="n">
        <f>66</f>
        <v>66.0</v>
      </c>
      <c r="I38" s="36" t="n">
        <f>0</f>
        <v>0.0</v>
      </c>
      <c r="J38" s="21" t="n">
        <f>3260000</f>
        <v>3260000.0</v>
      </c>
      <c r="K38" s="36" t="n">
        <f>0</f>
        <v>0.0</v>
      </c>
      <c r="L38" s="21" t="n">
        <f>10090000</f>
        <v>1.009E7</v>
      </c>
      <c r="M38" s="36" t="n">
        <f>0</f>
        <v>0.0</v>
      </c>
      <c r="N38" s="21" t="n">
        <f>13350000</f>
        <v>1.335E7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65</f>
        <v>65.0</v>
      </c>
      <c r="E39" s="37" t="n">
        <f>30</f>
        <v>30.0</v>
      </c>
      <c r="F39" s="25" t="n">
        <f>37</f>
        <v>37.0</v>
      </c>
      <c r="G39" s="37" t="n">
        <f>0</f>
        <v>0.0</v>
      </c>
      <c r="H39" s="25" t="n">
        <f>102</f>
        <v>102.0</v>
      </c>
      <c r="I39" s="37" t="n">
        <f>30</f>
        <v>30.0</v>
      </c>
      <c r="J39" s="25" t="n">
        <f>10430000</f>
        <v>1.043E7</v>
      </c>
      <c r="K39" s="37" t="n">
        <f>6600000</f>
        <v>6600000.0</v>
      </c>
      <c r="L39" s="25" t="n">
        <f>10090000</f>
        <v>1.009E7</v>
      </c>
      <c r="M39" s="37" t="n">
        <f>0</f>
        <v>0.0</v>
      </c>
      <c r="N39" s="25" t="n">
        <f>20520000</f>
        <v>2.052E7</v>
      </c>
      <c r="O39" s="37" t="n">
        <f>6600000</f>
        <v>6600000.0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1215</f>
        <v>1215.0</v>
      </c>
      <c r="E41" s="36" t="n">
        <f>0</f>
        <v>0.0</v>
      </c>
      <c r="F41" s="21" t="n">
        <f>4427</f>
        <v>4427.0</v>
      </c>
      <c r="G41" s="36" t="n">
        <f>0</f>
        <v>0.0</v>
      </c>
      <c r="H41" s="21" t="n">
        <f>5642</f>
        <v>5642.0</v>
      </c>
      <c r="I41" s="36" t="n">
        <f>0</f>
        <v>0.0</v>
      </c>
      <c r="J41" s="21" t="n">
        <f>14495526</f>
        <v>1.4495526E7</v>
      </c>
      <c r="K41" s="36" t="n">
        <f>0</f>
        <v>0.0</v>
      </c>
      <c r="L41" s="21" t="n">
        <f>74200263</f>
        <v>7.4200263E7</v>
      </c>
      <c r="M41" s="36" t="n">
        <f>0</f>
        <v>0.0</v>
      </c>
      <c r="N41" s="21" t="n">
        <f>88695789</f>
        <v>8.8695789E7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6770</f>
        <v>6770.0</v>
      </c>
      <c r="E42" s="36" t="n">
        <f>1875</f>
        <v>1875.0</v>
      </c>
      <c r="F42" s="21" t="n">
        <f>15596</f>
        <v>15596.0</v>
      </c>
      <c r="G42" s="36" t="n">
        <f>2050</f>
        <v>2050.0</v>
      </c>
      <c r="H42" s="21" t="n">
        <f>22366</f>
        <v>22366.0</v>
      </c>
      <c r="I42" s="36" t="n">
        <f>3925</f>
        <v>3925.0</v>
      </c>
      <c r="J42" s="21" t="n">
        <f>184441300</f>
        <v>1.844413E8</v>
      </c>
      <c r="K42" s="36" t="n">
        <f>173250000</f>
        <v>1.7325E8</v>
      </c>
      <c r="L42" s="21" t="n">
        <f>279250550</f>
        <v>2.7925055E8</v>
      </c>
      <c r="M42" s="36" t="n">
        <f>242012500</f>
        <v>2.420125E8</v>
      </c>
      <c r="N42" s="21" t="n">
        <f>463691850</f>
        <v>4.6369185E8</v>
      </c>
      <c r="O42" s="36" t="n">
        <f>415262500</f>
        <v>4.152625E8</v>
      </c>
    </row>
    <row r="43" spans="1:15" ht="24.9" customHeight="1">
      <c r="A43" s="38"/>
      <c r="B43" s="62"/>
      <c r="C43" s="24" t="s">
        <v>18</v>
      </c>
      <c r="D43" s="25" t="n">
        <f>7985</f>
        <v>7985.0</v>
      </c>
      <c r="E43" s="37" t="n">
        <f>1875</f>
        <v>1875.0</v>
      </c>
      <c r="F43" s="25" t="n">
        <f>20023</f>
        <v>20023.0</v>
      </c>
      <c r="G43" s="37" t="n">
        <f>2050</f>
        <v>2050.0</v>
      </c>
      <c r="H43" s="25" t="n">
        <f>28008</f>
        <v>28008.0</v>
      </c>
      <c r="I43" s="37" t="n">
        <f>3925</f>
        <v>3925.0</v>
      </c>
      <c r="J43" s="25" t="n">
        <f>198936826</f>
        <v>1.98936826E8</v>
      </c>
      <c r="K43" s="37" t="n">
        <f>173250000</f>
        <v>1.7325E8</v>
      </c>
      <c r="L43" s="25" t="n">
        <f>353450813</f>
        <v>3.53450813E8</v>
      </c>
      <c r="M43" s="37" t="n">
        <f>242012500</f>
        <v>2.420125E8</v>
      </c>
      <c r="N43" s="25" t="n">
        <f>552387639</f>
        <v>5.52387639E8</v>
      </c>
      <c r="O43" s="37" t="n">
        <f>415262500</f>
        <v>4.152625E8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