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<sst xmlns="http://schemas.openxmlformats.org/spreadsheetml/2006/main" count="528" uniqueCount="129">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</sst>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DATE(2026,04,24)</f>
        <v>46136.0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DATE(2026,04,24)</f>
        <v>46136.0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828438.0</f>
        <v>828438.0</v>
      </c>
      <c r="E12" s="18" t="n">
        <f>36923.0</f>
        <v>36923.0</v>
      </c>
      <c r="F12" s="19" t="n">
        <f>1.0</f>
        <v>1.0</v>
      </c>
      <c r="G12" s="17" t="n">
        <f>5126920390835.0</f>
        <v>5.126920390835E12</v>
      </c>
      <c r="H12" s="18" t="n">
        <f>331976801310.0</f>
        <v>3.3197680131E11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360466.0</f>
        <v>360466.0</v>
      </c>
      <c r="E13" s="22" t="n">
        <f>19462.0</f>
        <v>19462.0</v>
      </c>
      <c r="F13" s="23" t="n">
        <f>1.0</f>
        <v>1.0</v>
      </c>
      <c r="G13" s="21" t="n">
        <f>3434656121129.0</f>
        <v>3.434656121129E12</v>
      </c>
      <c r="H13" s="22" t="n">
        <f>229894873579.0</f>
        <v>2.29894873579E11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379950.0</f>
        <v>379950.0</v>
      </c>
      <c r="E14" s="22" t="n">
        <f>25511.0</f>
        <v>25511.0</v>
      </c>
      <c r="F14" s="23" t="n">
        <f>1.0</f>
        <v>1.0</v>
      </c>
      <c r="G14" s="21" t="n">
        <f>3972378982129.0</f>
        <v>3.972378982129E12</v>
      </c>
      <c r="H14" s="22" t="n">
        <f>507530672404.0</f>
        <v>5.07530672404E11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1568854.0</f>
        <v>1568854.0</v>
      </c>
      <c r="E15" s="26" t="n">
        <f>81896.0</f>
        <v>81896.0</v>
      </c>
      <c r="F15" s="27" t="n">
        <f>1.0</f>
        <v>1.0</v>
      </c>
      <c r="G15" s="25" t="n">
        <f>12533955494093.0</f>
        <v>1.2533955494093E13</v>
      </c>
      <c r="H15" s="26" t="n">
        <f>1069402347293.0</f>
        <v>1.069402347293E12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12220.0</f>
        <v>12220.0</v>
      </c>
      <c r="E16" s="18" t="n">
        <f>444.0</f>
        <v>444.0</v>
      </c>
      <c r="F16" s="19" t="n">
        <f>0.015</f>
        <v>0.015</v>
      </c>
      <c r="G16" s="17" t="n">
        <f>1566682628125.0</f>
        <v>1.566682628125E12</v>
      </c>
      <c r="H16" s="18" t="n">
        <f>57729030000.0</f>
        <v>5.772903E10</v>
      </c>
      <c r="I16" s="19" t="n">
        <f>0.306</f>
        <v>0.306</v>
      </c>
    </row>
    <row r="17" spans="1:9" ht="24.9" customHeight="1">
      <c r="A17" s="41"/>
      <c r="B17" s="39"/>
      <c r="C17" s="20" t="s">
        <v>16</v>
      </c>
      <c r="D17" s="21" t="n">
        <f>11457.0</f>
        <v>11457.0</v>
      </c>
      <c r="E17" s="22" t="n">
        <f>643.0</f>
        <v>643.0</v>
      </c>
      <c r="F17" s="23" t="n">
        <f>0.032</f>
        <v>0.032</v>
      </c>
      <c r="G17" s="21" t="n">
        <f>1461020917500.0</f>
        <v>1.4610209175E12</v>
      </c>
      <c r="H17" s="22" t="n">
        <f>83536190000.0</f>
        <v>8.353619E10</v>
      </c>
      <c r="I17" s="23" t="n">
        <f>0.425</f>
        <v>0.425</v>
      </c>
    </row>
    <row r="18" spans="1:9" ht="24.9" customHeight="1">
      <c r="A18" s="41"/>
      <c r="B18" s="39"/>
      <c r="C18" s="20" t="s">
        <v>17</v>
      </c>
      <c r="D18" s="21" t="n">
        <f>10073.0</f>
        <v>10073.0</v>
      </c>
      <c r="E18" s="22" t="n">
        <f>655.0</f>
        <v>655.0</v>
      </c>
      <c r="F18" s="23" t="n">
        <f>0.027</f>
        <v>0.027</v>
      </c>
      <c r="G18" s="21" t="n">
        <f>1236280368125.0</f>
        <v>1.236280368125E12</v>
      </c>
      <c r="H18" s="22" t="n">
        <f>85105670000.0</f>
        <v>8.510567E10</v>
      </c>
      <c r="I18" s="23" t="n">
        <f>0.311</f>
        <v>0.311</v>
      </c>
    </row>
    <row r="19" spans="1:9" ht="24.9" customHeight="1">
      <c r="A19" s="41"/>
      <c r="B19" s="39"/>
      <c r="C19" s="24" t="s">
        <v>18</v>
      </c>
      <c r="D19" s="25" t="n">
        <f>33750.0</f>
        <v>33750.0</v>
      </c>
      <c r="E19" s="26" t="n">
        <f>1742.0</f>
        <v>1742.0</v>
      </c>
      <c r="F19" s="27" t="n">
        <f>0.022</f>
        <v>0.022</v>
      </c>
      <c r="G19" s="25" t="n">
        <f>4263983913750.0</f>
        <v>4.26398391375E12</v>
      </c>
      <c r="H19" s="26" t="n">
        <f>226370890000.0</f>
        <v>2.2637089E11</v>
      </c>
      <c r="I19" s="27" t="n">
        <f>0.34</f>
        <v>0.34</v>
      </c>
    </row>
    <row r="20" spans="1:9" ht="24.9" customHeight="1">
      <c r="A20" s="41"/>
      <c r="B20" s="39" t="s">
        <v>21</v>
      </c>
      <c r="C20" s="16" t="s">
        <v>15</v>
      </c>
      <c r="D20" s="17" t="n">
        <f>798658.0</f>
        <v>798658.0</v>
      </c>
      <c r="E20" s="18" t="n">
        <f>36479.0</f>
        <v>36479.0</v>
      </c>
      <c r="F20" s="19" t="n">
        <f>0.964</f>
        <v>0.964</v>
      </c>
      <c r="G20" s="17" t="n">
        <f>3400172789560.0</f>
        <v>3.40017278956E12</v>
      </c>
      <c r="H20" s="18" t="n">
        <f>274247771310.0</f>
        <v>2.7424777131E11</v>
      </c>
      <c r="I20" s="19" t="n">
        <f>0.663</f>
        <v>0.663</v>
      </c>
    </row>
    <row r="21" spans="1:9" ht="24.9" customHeight="1">
      <c r="A21" s="41"/>
      <c r="B21" s="39"/>
      <c r="C21" s="20" t="s">
        <v>16</v>
      </c>
      <c r="D21" s="21" t="n">
        <f>343706.0</f>
        <v>343706.0</v>
      </c>
      <c r="E21" s="22" t="n">
        <f>18819.0</f>
        <v>18819.0</v>
      </c>
      <c r="F21" s="23" t="n">
        <f>0.954</f>
        <v>0.954</v>
      </c>
      <c r="G21" s="21" t="n">
        <f>1921170754529.0</f>
        <v>1.921170754529E12</v>
      </c>
      <c r="H21" s="22" t="n">
        <f>146358683579.0</f>
        <v>1.46358683579E11</v>
      </c>
      <c r="I21" s="23" t="n">
        <f>0.559</f>
        <v>0.559</v>
      </c>
    </row>
    <row r="22" spans="1:9" ht="24.9" customHeight="1">
      <c r="A22" s="41"/>
      <c r="B22" s="39"/>
      <c r="C22" s="20" t="s">
        <v>17</v>
      </c>
      <c r="D22" s="21" t="n">
        <f>357062.0</f>
        <v>357062.0</v>
      </c>
      <c r="E22" s="22" t="n">
        <f>24775.0</f>
        <v>24775.0</v>
      </c>
      <c r="F22" s="23" t="n">
        <f>0.94</f>
        <v>0.94</v>
      </c>
      <c r="G22" s="21" t="n">
        <f>2623940600404.0</f>
        <v>2.623940600404E12</v>
      </c>
      <c r="H22" s="22" t="n">
        <f>420426835404.0</f>
        <v>4.20426835404E11</v>
      </c>
      <c r="I22" s="23" t="n">
        <f>0.661</f>
        <v>0.661</v>
      </c>
    </row>
    <row r="23" spans="1:9" ht="24.9" customHeight="1">
      <c r="A23" s="41"/>
      <c r="B23" s="39"/>
      <c r="C23" s="24" t="s">
        <v>18</v>
      </c>
      <c r="D23" s="25" t="n">
        <f>1499426.0</f>
        <v>1499426.0</v>
      </c>
      <c r="E23" s="26" t="n">
        <f>80073.0</f>
        <v>80073.0</v>
      </c>
      <c r="F23" s="27" t="n">
        <f>0.956</f>
        <v>0.956</v>
      </c>
      <c r="G23" s="25" t="n">
        <f>7945284144493.0</f>
        <v>7.945284144493E12</v>
      </c>
      <c r="H23" s="26" t="n">
        <f>841033290293.0</f>
        <v>8.41033290293E11</v>
      </c>
      <c r="I23" s="27" t="n">
        <f>0.634</f>
        <v>0.634</v>
      </c>
    </row>
    <row r="24" spans="1:9" ht="24.9" customHeight="1">
      <c r="A24" s="41"/>
      <c r="B24" s="39" t="s">
        <v>22</v>
      </c>
      <c r="C24" s="16" t="s">
        <v>15</v>
      </c>
      <c r="D24" s="17" t="n">
        <f>17218.0</f>
        <v>17218.0</v>
      </c>
      <c r="E24" s="18" t="n">
        <f>0.0</f>
        <v>0.0</v>
      </c>
      <c r="F24" s="19" t="n">
        <f>0.021</f>
        <v>0.021</v>
      </c>
      <c r="G24" s="17" t="n">
        <f>158558673650.0</f>
        <v>1.5855867365E11</v>
      </c>
      <c r="H24" s="18" t="n">
        <f>0.0</f>
        <v>0.0</v>
      </c>
      <c r="I24" s="19" t="n">
        <f>0.031</f>
        <v>0.031</v>
      </c>
    </row>
    <row r="25" spans="1:9" ht="24.9" customHeight="1">
      <c r="A25" s="41"/>
      <c r="B25" s="39"/>
      <c r="C25" s="20" t="s">
        <v>16</v>
      </c>
      <c r="D25" s="21" t="n">
        <f>4864.0</f>
        <v>4864.0</v>
      </c>
      <c r="E25" s="22" t="n">
        <f>0.0</f>
        <v>0.0</v>
      </c>
      <c r="F25" s="23" t="n">
        <f>0.013</f>
        <v>0.013</v>
      </c>
      <c r="G25" s="21" t="n">
        <f>50555853100.0</f>
        <v>5.05558531E10</v>
      </c>
      <c r="H25" s="22" t="n">
        <f>0.0</f>
        <v>0.0</v>
      </c>
      <c r="I25" s="23" t="n">
        <f>0.015</f>
        <v>0.015</v>
      </c>
    </row>
    <row r="26" spans="1:9" ht="24.9" customHeight="1">
      <c r="A26" s="41"/>
      <c r="B26" s="39"/>
      <c r="C26" s="20" t="s">
        <v>17</v>
      </c>
      <c r="D26" s="21" t="n">
        <f>11135.0</f>
        <v>11135.0</v>
      </c>
      <c r="E26" s="22" t="n">
        <f>81.0</f>
        <v>81.0</v>
      </c>
      <c r="F26" s="23" t="n">
        <f>0.029</f>
        <v>0.029</v>
      </c>
      <c r="G26" s="21" t="n">
        <f>104739380600.0</f>
        <v>1.047393806E11</v>
      </c>
      <c r="H26" s="22" t="n">
        <f>1998167000.0</f>
        <v>1.998167E9</v>
      </c>
      <c r="I26" s="23" t="n">
        <f>0.026</f>
        <v>0.026</v>
      </c>
    </row>
    <row r="27" spans="1:9" ht="24.9" customHeight="1">
      <c r="A27" s="42"/>
      <c r="B27" s="39"/>
      <c r="C27" s="24" t="s">
        <v>18</v>
      </c>
      <c r="D27" s="25" t="n">
        <f>33217.0</f>
        <v>33217.0</v>
      </c>
      <c r="E27" s="26" t="n">
        <f>81.0</f>
        <v>81.0</v>
      </c>
      <c r="F27" s="27" t="n">
        <f>0.021</f>
        <v>0.021</v>
      </c>
      <c r="G27" s="25" t="n">
        <f>313853907350.0</f>
        <v>3.1385390735E11</v>
      </c>
      <c r="H27" s="26" t="n">
        <f>1998167000.0</f>
        <v>1.998167E9</v>
      </c>
      <c r="I27" s="27" t="n">
        <f>0.025</f>
        <v>0.025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342.0</f>
        <v>342.0</v>
      </c>
      <c r="E28" s="18" t="n">
        <f>0.0</f>
        <v>0.0</v>
      </c>
      <c r="F28" s="19" t="n">
        <f>0.0</f>
        <v>0.0</v>
      </c>
      <c r="G28" s="17" t="n">
        <f>1506299500.0</f>
        <v>1.5062995E9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439.0</f>
        <v>439.0</v>
      </c>
      <c r="E29" s="22" t="n">
        <f>0.0</f>
        <v>0.0</v>
      </c>
      <c r="F29" s="23" t="n">
        <f>0.001</f>
        <v>0.001</v>
      </c>
      <c r="G29" s="21" t="n">
        <f>1908596000.0</f>
        <v>1.908596E9</v>
      </c>
      <c r="H29" s="22" t="n">
        <f>0.0</f>
        <v>0.0</v>
      </c>
      <c r="I29" s="23" t="n">
        <f>0.001</f>
        <v>0.001</v>
      </c>
    </row>
    <row r="30" spans="1:9" ht="24.9" customHeight="1">
      <c r="A30" s="38"/>
      <c r="B30" s="39"/>
      <c r="C30" s="20" t="s">
        <v>17</v>
      </c>
      <c r="D30" s="21" t="n">
        <f>1680.0</f>
        <v>1680.0</v>
      </c>
      <c r="E30" s="22" t="n">
        <f>0.0</f>
        <v>0.0</v>
      </c>
      <c r="F30" s="23" t="n">
        <f>0.004</f>
        <v>0.004</v>
      </c>
      <c r="G30" s="21" t="n">
        <f>7418633000.0</f>
        <v>7.418633E9</v>
      </c>
      <c r="H30" s="22" t="n">
        <f>0.0</f>
        <v>0.0</v>
      </c>
      <c r="I30" s="23" t="n">
        <f>0.002</f>
        <v>0.002</v>
      </c>
    </row>
    <row r="31" spans="1:9" ht="24.9" customHeight="1">
      <c r="A31" s="38"/>
      <c r="B31" s="39"/>
      <c r="C31" s="24" t="s">
        <v>18</v>
      </c>
      <c r="D31" s="25" t="n">
        <f>2461.0</f>
        <v>2461.0</v>
      </c>
      <c r="E31" s="26" t="n">
        <f>0.0</f>
        <v>0.0</v>
      </c>
      <c r="F31" s="27" t="n">
        <f>0.002</f>
        <v>0.002</v>
      </c>
      <c r="G31" s="25" t="n">
        <f>10833528500.0</f>
        <v>1.08335285E10</v>
      </c>
      <c r="H31" s="26" t="n">
        <f>0.0</f>
        <v>0.0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46136.0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46136.0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17767</f>
        <v>17767.0</v>
      </c>
      <c r="E11" s="18" t="n">
        <f>6387</f>
        <v>6387.0</v>
      </c>
      <c r="F11" s="19" t="n">
        <f>1</f>
        <v>1.0</v>
      </c>
      <c r="G11" s="17" t="n">
        <f>18287624490</f>
        <v>1.828762449E10</v>
      </c>
      <c r="H11" s="18" t="n">
        <f>17168335290</f>
        <v>1.716833529E10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18906</f>
        <v>18906.0</v>
      </c>
      <c r="E12" s="22" t="n">
        <f>6077</f>
        <v>6077.0</v>
      </c>
      <c r="F12" s="23" t="n">
        <f>1</f>
        <v>1.0</v>
      </c>
      <c r="G12" s="21" t="n">
        <f>3565413660</f>
        <v>3.56541366E9</v>
      </c>
      <c r="H12" s="22" t="n">
        <f>2291186390</f>
        <v>2.29118639E9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52444</f>
        <v>52444.0</v>
      </c>
      <c r="E13" s="22" t="n">
        <f>30873</f>
        <v>30873.0</v>
      </c>
      <c r="F13" s="23" t="n">
        <f>1</f>
        <v>1.0</v>
      </c>
      <c r="G13" s="21" t="n">
        <f>19400154185</f>
        <v>1.9400154185E10</v>
      </c>
      <c r="H13" s="22" t="n">
        <f>17130660340</f>
        <v>1.713066034E10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89117</f>
        <v>89117.0</v>
      </c>
      <c r="E14" s="26" t="n">
        <f>43337</f>
        <v>43337.0</v>
      </c>
      <c r="F14" s="27" t="n">
        <f>1</f>
        <v>1.0</v>
      </c>
      <c r="G14" s="25" t="n">
        <f>41253192335</f>
        <v>4.1253192335E10</v>
      </c>
      <c r="H14" s="26" t="n">
        <f>36590182020</f>
        <v>3.659018202E10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27</f>
        <v>27.0</v>
      </c>
      <c r="E15" s="18" t="n">
        <f>0</f>
        <v>0.0</v>
      </c>
      <c r="F15" s="19" t="n">
        <f>0.002</f>
        <v>0.002</v>
      </c>
      <c r="G15" s="17" t="n">
        <f>2550000</f>
        <v>2550000.0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137</f>
        <v>137.0</v>
      </c>
      <c r="E16" s="22" t="n">
        <f>50</f>
        <v>50.0</v>
      </c>
      <c r="F16" s="23" t="n">
        <f>0.007</f>
        <v>0.007</v>
      </c>
      <c r="G16" s="21" t="n">
        <f>21140000</f>
        <v>2.114E7</v>
      </c>
      <c r="H16" s="22" t="n">
        <f>5680000</f>
        <v>5680000.0</v>
      </c>
      <c r="I16" s="23" t="n">
        <f>0.006</f>
        <v>0.006</v>
      </c>
    </row>
    <row r="17" spans="1:9" ht="24.9" customHeight="1">
      <c r="A17" s="41"/>
      <c r="B17" s="39"/>
      <c r="C17" s="20" t="s">
        <v>17</v>
      </c>
      <c r="D17" s="21" t="n">
        <f>617</f>
        <v>617.0</v>
      </c>
      <c r="E17" s="22" t="n">
        <f>600</f>
        <v>600.0</v>
      </c>
      <c r="F17" s="23" t="n">
        <f>0.012</f>
        <v>0.012</v>
      </c>
      <c r="G17" s="21" t="n">
        <f>29490000</f>
        <v>2.949E7</v>
      </c>
      <c r="H17" s="22" t="n">
        <f>26750000</f>
        <v>2.675E7</v>
      </c>
      <c r="I17" s="23" t="n">
        <f>0.002</f>
        <v>0.002</v>
      </c>
    </row>
    <row r="18" spans="1:9" ht="24.9" customHeight="1">
      <c r="A18" s="41"/>
      <c r="B18" s="39"/>
      <c r="C18" s="24" t="s">
        <v>18</v>
      </c>
      <c r="D18" s="25" t="n">
        <f>781</f>
        <v>781.0</v>
      </c>
      <c r="E18" s="26" t="n">
        <f>650</f>
        <v>650.0</v>
      </c>
      <c r="F18" s="27" t="n">
        <f>0.009</f>
        <v>0.009</v>
      </c>
      <c r="G18" s="25" t="n">
        <f>53180000</f>
        <v>5.318E7</v>
      </c>
      <c r="H18" s="26" t="n">
        <f>32430000</f>
        <v>3.243E7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17740</f>
        <v>17740.0</v>
      </c>
      <c r="E19" s="18" t="n">
        <f>6387</f>
        <v>6387.0</v>
      </c>
      <c r="F19" s="19" t="n">
        <f>0.998</f>
        <v>0.998</v>
      </c>
      <c r="G19" s="17" t="n">
        <f>18285074490</f>
        <v>1.828507449E10</v>
      </c>
      <c r="H19" s="18" t="n">
        <f>17168335290</f>
        <v>1.716833529E10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16204</f>
        <v>16204.0</v>
      </c>
      <c r="E20" s="22" t="n">
        <f>5027</f>
        <v>5027.0</v>
      </c>
      <c r="F20" s="23" t="n">
        <f>0.857</f>
        <v>0.857</v>
      </c>
      <c r="G20" s="21" t="n">
        <f>3493949990</f>
        <v>3.49394999E9</v>
      </c>
      <c r="H20" s="22" t="n">
        <f>2256006390</f>
        <v>2.25600639E9</v>
      </c>
      <c r="I20" s="23" t="n">
        <f>0.98</f>
        <v>0.98</v>
      </c>
    </row>
    <row r="21" spans="1:9" ht="24.9" customHeight="1">
      <c r="A21" s="41"/>
      <c r="B21" s="39"/>
      <c r="C21" s="20" t="s">
        <v>17</v>
      </c>
      <c r="D21" s="21" t="n">
        <f>42299</f>
        <v>42299.0</v>
      </c>
      <c r="E21" s="22" t="n">
        <f>26773</f>
        <v>26773.0</v>
      </c>
      <c r="F21" s="23" t="n">
        <f>0.807</f>
        <v>0.807</v>
      </c>
      <c r="G21" s="21" t="n">
        <f>19343916240</f>
        <v>1.934391624E10</v>
      </c>
      <c r="H21" s="22" t="n">
        <f>17091060340</f>
        <v>1.709106034E10</v>
      </c>
      <c r="I21" s="23" t="n">
        <f>0.997</f>
        <v>0.997</v>
      </c>
    </row>
    <row r="22" spans="1:9" ht="24.9" customHeight="1">
      <c r="A22" s="41"/>
      <c r="B22" s="39"/>
      <c r="C22" s="24" t="s">
        <v>18</v>
      </c>
      <c r="D22" s="25" t="n">
        <f>76243</f>
        <v>76243.0</v>
      </c>
      <c r="E22" s="26" t="n">
        <f>38187</f>
        <v>38187.0</v>
      </c>
      <c r="F22" s="27" t="n">
        <f>0.856</f>
        <v>0.856</v>
      </c>
      <c r="G22" s="25" t="n">
        <f>41122940720</f>
        <v>4.112294072E10</v>
      </c>
      <c r="H22" s="26" t="n">
        <f>36515402020</f>
        <v>3.651540202E10</v>
      </c>
      <c r="I22" s="27" t="n">
        <f>0.997</f>
        <v>0.997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2565</f>
        <v>2565.0</v>
      </c>
      <c r="E24" s="22" t="n">
        <f>1000</f>
        <v>1000.0</v>
      </c>
      <c r="F24" s="23" t="n">
        <f>0.136</f>
        <v>0.136</v>
      </c>
      <c r="G24" s="21" t="n">
        <f>50323670</f>
        <v>5.032367E7</v>
      </c>
      <c r="H24" s="22" t="n">
        <f>29500000</f>
        <v>2.95E7</v>
      </c>
      <c r="I24" s="23" t="n">
        <f>0.014</f>
        <v>0.014</v>
      </c>
    </row>
    <row r="25" spans="1:9" ht="24.9" customHeight="1">
      <c r="A25" s="41"/>
      <c r="B25" s="39"/>
      <c r="C25" s="20" t="s">
        <v>17</v>
      </c>
      <c r="D25" s="21" t="n">
        <f>9528</f>
        <v>9528.0</v>
      </c>
      <c r="E25" s="22" t="n">
        <f>3500</f>
        <v>3500.0</v>
      </c>
      <c r="F25" s="23" t="n">
        <f>0.182</f>
        <v>0.182</v>
      </c>
      <c r="G25" s="21" t="n">
        <f>26747945</f>
        <v>2.6747945E7</v>
      </c>
      <c r="H25" s="22" t="n">
        <f>12850000</f>
        <v>1.285E7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12093</f>
        <v>12093.0</v>
      </c>
      <c r="E26" s="26" t="n">
        <f>4500</f>
        <v>4500.0</v>
      </c>
      <c r="F26" s="27" t="n">
        <f>0.136</f>
        <v>0.136</v>
      </c>
      <c r="G26" s="25" t="n">
        <f>77071615</f>
        <v>7.7071615E7</v>
      </c>
      <c r="H26" s="26" t="n">
        <f>42350000</f>
        <v>4.235E7</v>
      </c>
      <c r="I26" s="27" t="n">
        <f>0.002</f>
        <v>0.002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46136.0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46136.0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11091.0</v>
      </c>
      <c r="F12" s="18" t="n">
        <f>1105</f>
        <v>1105.0</v>
      </c>
      <c r="G12" s="17" t="n">
        <v>6.550387382E11</v>
      </c>
      <c r="H12" s="18" t="n">
        <f>65395513200</f>
        <v>6.53955132E10</v>
      </c>
    </row>
    <row r="13" spans="1:8" ht="24.9" customHeight="1">
      <c r="A13" s="51"/>
      <c r="B13" s="57"/>
      <c r="C13" s="39"/>
      <c r="D13" s="20" t="s">
        <v>16</v>
      </c>
      <c r="E13" s="21" t="n">
        <v>7439.0</v>
      </c>
      <c r="F13" s="22" t="n">
        <f>617</f>
        <v>617.0</v>
      </c>
      <c r="G13" s="21" t="n">
        <v>4.4272404054E11</v>
      </c>
      <c r="H13" s="22" t="n">
        <f>36649820540</f>
        <v>3.664982054E10</v>
      </c>
    </row>
    <row r="14" spans="1:8" ht="24.9" customHeight="1">
      <c r="A14" s="51"/>
      <c r="B14" s="57"/>
      <c r="C14" s="39"/>
      <c r="D14" s="20" t="s">
        <v>17</v>
      </c>
      <c r="E14" s="21" t="n">
        <v>12439.0</v>
      </c>
      <c r="F14" s="22" t="n">
        <f>2655</f>
        <v>2655.0</v>
      </c>
      <c r="G14" s="21" t="n">
        <v>7.4181656702E11</v>
      </c>
      <c r="H14" s="22" t="n">
        <f>158447751020</f>
        <v>1.5844775102E11</v>
      </c>
    </row>
    <row r="15" spans="1:8" ht="24.9" customHeight="1">
      <c r="A15" s="51"/>
      <c r="B15" s="57"/>
      <c r="C15" s="39"/>
      <c r="D15" s="24" t="s">
        <v>18</v>
      </c>
      <c r="E15" s="25" t="n">
        <v>30969.0</v>
      </c>
      <c r="F15" s="26" t="n">
        <f>4377</f>
        <v>4377.0</v>
      </c>
      <c r="G15" s="25" t="n">
        <v>1.83957934576E12</v>
      </c>
      <c r="H15" s="26" t="n">
        <f>260493084760</f>
        <v>2.6049308476E11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297428.0</v>
      </c>
      <c r="F16" s="18" t="n">
        <f>34995</f>
        <v>34995.0</v>
      </c>
      <c r="G16" s="17" t="n">
        <v>1.75728318061E12</v>
      </c>
      <c r="H16" s="18" t="n">
        <f>206903799610</f>
        <v>2.0690379961E11</v>
      </c>
    </row>
    <row r="17" spans="1:8" ht="24.9" customHeight="1">
      <c r="A17" s="51"/>
      <c r="B17" s="57"/>
      <c r="C17" s="39"/>
      <c r="D17" s="20" t="s">
        <v>16</v>
      </c>
      <c r="E17" s="21" t="n">
        <v>144225.0</v>
      </c>
      <c r="F17" s="22" t="n">
        <f>17759</f>
        <v>17759.0</v>
      </c>
      <c r="G17" s="21" t="n">
        <v>8.5849524212E11</v>
      </c>
      <c r="H17" s="22" t="n">
        <f>105709433620</f>
        <v>1.0570943362E11</v>
      </c>
    </row>
    <row r="18" spans="1:8" ht="24.9" customHeight="1">
      <c r="A18" s="51"/>
      <c r="B18" s="57"/>
      <c r="C18" s="39"/>
      <c r="D18" s="20" t="s">
        <v>17</v>
      </c>
      <c r="E18" s="21" t="n">
        <v>142657.0</v>
      </c>
      <c r="F18" s="22" t="n">
        <f>15597</f>
        <v>15597.0</v>
      </c>
      <c r="G18" s="21" t="n">
        <v>8.502129124E11</v>
      </c>
      <c r="H18" s="22" t="n">
        <f>92911149900</f>
        <v>9.29111499E10</v>
      </c>
    </row>
    <row r="19" spans="1:8" ht="24.9" customHeight="1">
      <c r="A19" s="51"/>
      <c r="B19" s="57"/>
      <c r="C19" s="39"/>
      <c r="D19" s="24" t="s">
        <v>18</v>
      </c>
      <c r="E19" s="25" t="n">
        <v>584310.0</v>
      </c>
      <c r="F19" s="26" t="n">
        <f>68351</f>
        <v>68351.0</v>
      </c>
      <c r="G19" s="25" t="n">
        <v>3.46599133513E12</v>
      </c>
      <c r="H19" s="26" t="n">
        <f>405524383130</f>
        <v>4.0552438313E11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460545.0</v>
      </c>
      <c r="F20" s="18" t="str">
        <f>"－"</f>
        <v>－</v>
      </c>
      <c r="G20" s="17" t="n">
        <v>2.720352859E11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170874.0</v>
      </c>
      <c r="F21" s="22" t="str">
        <f>"－"</f>
        <v>－</v>
      </c>
      <c r="G21" s="21" t="n">
        <v>1.0172305655E11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166792.0</v>
      </c>
      <c r="F22" s="22" t="str">
        <f>"－"</f>
        <v>－</v>
      </c>
      <c r="G22" s="21" t="n">
        <v>9.938420735E10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798211.0</v>
      </c>
      <c r="F23" s="26" t="str">
        <f>"－"</f>
        <v>－</v>
      </c>
      <c r="G23" s="25" t="n">
        <v>4.731425498E11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18403.0</v>
      </c>
      <c r="F24" s="18" t="n">
        <f>17</f>
        <v>17.0</v>
      </c>
      <c r="G24" s="17" t="n">
        <v>6.83936125E11</v>
      </c>
      <c r="H24" s="18" t="n">
        <f>632155000</f>
        <v>6.32155E8</v>
      </c>
    </row>
    <row r="25" spans="1:8" ht="24.9" customHeight="1">
      <c r="A25" s="51"/>
      <c r="B25" s="57"/>
      <c r="C25" s="39"/>
      <c r="D25" s="20" t="s">
        <v>16</v>
      </c>
      <c r="E25" s="21" t="n">
        <v>13260.0</v>
      </c>
      <c r="F25" s="22" t="n">
        <f>75</f>
        <v>75.0</v>
      </c>
      <c r="G25" s="21" t="n">
        <v>4.93932588E11</v>
      </c>
      <c r="H25" s="22" t="n">
        <f>2795333000</f>
        <v>2.795333E9</v>
      </c>
    </row>
    <row r="26" spans="1:8" ht="24.9" customHeight="1">
      <c r="A26" s="51"/>
      <c r="B26" s="57"/>
      <c r="C26" s="39"/>
      <c r="D26" s="20" t="s">
        <v>17</v>
      </c>
      <c r="E26" s="21" t="n">
        <v>24228.0</v>
      </c>
      <c r="F26" s="22" t="n">
        <f>4415</f>
        <v>4415.0</v>
      </c>
      <c r="G26" s="21" t="n">
        <v>9.015406288E11</v>
      </c>
      <c r="H26" s="22" t="n">
        <f>164279998800</f>
        <v>1.642799988E11</v>
      </c>
    </row>
    <row r="27" spans="1:8" ht="24.9" customHeight="1">
      <c r="A27" s="51"/>
      <c r="B27" s="57"/>
      <c r="C27" s="39"/>
      <c r="D27" s="24" t="s">
        <v>18</v>
      </c>
      <c r="E27" s="25" t="n">
        <v>55891.0</v>
      </c>
      <c r="F27" s="26" t="n">
        <f>4507</f>
        <v>4507.0</v>
      </c>
      <c r="G27" s="25" t="n">
        <v>2.0794093418E12</v>
      </c>
      <c r="H27" s="26" t="n">
        <f>167707486800</f>
        <v>1.677074868E11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6320.0</v>
      </c>
      <c r="F28" s="18" t="n">
        <f>351</f>
        <v>351.0</v>
      </c>
      <c r="G28" s="17" t="n">
        <v>2.347649225E10</v>
      </c>
      <c r="H28" s="18" t="n">
        <f>1305362000</f>
        <v>1.305362E9</v>
      </c>
    </row>
    <row r="29" spans="1:8" ht="24.9" customHeight="1">
      <c r="A29" s="51"/>
      <c r="B29" s="57"/>
      <c r="C29" s="39"/>
      <c r="D29" s="20" t="s">
        <v>16</v>
      </c>
      <c r="E29" s="21" t="n">
        <v>5600.0</v>
      </c>
      <c r="F29" s="22" t="n">
        <f>303</f>
        <v>303.0</v>
      </c>
      <c r="G29" s="21" t="n">
        <v>2.085727675E10</v>
      </c>
      <c r="H29" s="22" t="n">
        <f>1128881750</f>
        <v>1.12888175E9</v>
      </c>
    </row>
    <row r="30" spans="1:8" ht="24.9" customHeight="1">
      <c r="A30" s="51"/>
      <c r="B30" s="57"/>
      <c r="C30" s="39"/>
      <c r="D30" s="20" t="s">
        <v>17</v>
      </c>
      <c r="E30" s="21" t="n">
        <v>5838.0</v>
      </c>
      <c r="F30" s="22" t="n">
        <f>151</f>
        <v>151.0</v>
      </c>
      <c r="G30" s="21" t="n">
        <v>2.17220102E10</v>
      </c>
      <c r="H30" s="22" t="n">
        <f>561896950</f>
        <v>5.6189695E8</v>
      </c>
    </row>
    <row r="31" spans="1:8" ht="24.9" customHeight="1">
      <c r="A31" s="51"/>
      <c r="B31" s="57"/>
      <c r="C31" s="39"/>
      <c r="D31" s="24" t="s">
        <v>18</v>
      </c>
      <c r="E31" s="25" t="n">
        <v>17758.0</v>
      </c>
      <c r="F31" s="26" t="n">
        <f>805</f>
        <v>805.0</v>
      </c>
      <c r="G31" s="25" t="n">
        <v>6.60557792E10</v>
      </c>
      <c r="H31" s="26" t="n">
        <f>2996140700</f>
        <v>2.9961407E9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613.0</v>
      </c>
      <c r="F36" s="18" t="n">
        <f>1</f>
        <v>1.0</v>
      </c>
      <c r="G36" s="17" t="n">
        <v>2.074061E9</v>
      </c>
      <c r="H36" s="18" t="n">
        <f>3375500</f>
        <v>3375500.0</v>
      </c>
    </row>
    <row r="37" spans="1:8" ht="24.9" customHeight="1">
      <c r="A37" s="51"/>
      <c r="B37" s="57"/>
      <c r="C37" s="39"/>
      <c r="D37" s="20" t="s">
        <v>16</v>
      </c>
      <c r="E37" s="21" t="n">
        <v>526.0</v>
      </c>
      <c r="F37" s="22" t="n">
        <f>10</f>
        <v>10.0</v>
      </c>
      <c r="G37" s="21" t="n">
        <v>1.788009469E9</v>
      </c>
      <c r="H37" s="22" t="n">
        <f>33900969</f>
        <v>3.3900969E7</v>
      </c>
    </row>
    <row r="38" spans="1:8" ht="24.9" customHeight="1">
      <c r="A38" s="51"/>
      <c r="B38" s="57"/>
      <c r="C38" s="39"/>
      <c r="D38" s="20" t="s">
        <v>17</v>
      </c>
      <c r="E38" s="21" t="n">
        <v>1010.0</v>
      </c>
      <c r="F38" s="22" t="n">
        <f>180</f>
        <v>180.0</v>
      </c>
      <c r="G38" s="21" t="n">
        <v>3.427292354E9</v>
      </c>
      <c r="H38" s="22" t="n">
        <f>610629354</f>
        <v>6.10629354E8</v>
      </c>
    </row>
    <row r="39" spans="1:8" ht="24.9" customHeight="1">
      <c r="A39" s="51"/>
      <c r="B39" s="57"/>
      <c r="C39" s="39"/>
      <c r="D39" s="24" t="s">
        <v>18</v>
      </c>
      <c r="E39" s="25" t="n">
        <v>2149.0</v>
      </c>
      <c r="F39" s="26" t="n">
        <f>191</f>
        <v>191.0</v>
      </c>
      <c r="G39" s="25" t="n">
        <v>7.289362823E9</v>
      </c>
      <c r="H39" s="26" t="n">
        <f>647905823</f>
        <v>6.47905823E8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91.0</v>
      </c>
      <c r="F46" s="22" t="n">
        <f>91</f>
        <v>91.0</v>
      </c>
      <c r="G46" s="21" t="n">
        <v>5.26617E8</v>
      </c>
      <c r="H46" s="22" t="n">
        <f>526617000</f>
        <v>5.26617E8</v>
      </c>
    </row>
    <row r="47" spans="1:8" ht="24.9" customHeight="1">
      <c r="A47" s="51"/>
      <c r="B47" s="57"/>
      <c r="C47" s="39"/>
      <c r="D47" s="24" t="s">
        <v>18</v>
      </c>
      <c r="E47" s="25" t="n">
        <v>91.0</v>
      </c>
      <c r="F47" s="26" t="n">
        <f>91</f>
        <v>91.0</v>
      </c>
      <c r="G47" s="25" t="n">
        <v>5.26617E8</v>
      </c>
      <c r="H47" s="26" t="n">
        <f>526617000</f>
        <v>5.26617E8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0.0</v>
      </c>
      <c r="F48" s="18" t="n">
        <f>0</f>
        <v>0.0</v>
      </c>
      <c r="G48" s="17" t="n">
        <v>0.0</v>
      </c>
      <c r="H48" s="18" t="n">
        <f>0</f>
        <v>0.0</v>
      </c>
    </row>
    <row r="49" spans="1:8" ht="24.9" customHeight="1">
      <c r="A49" s="51"/>
      <c r="B49" s="57"/>
      <c r="C49" s="39"/>
      <c r="D49" s="20" t="s">
        <v>16</v>
      </c>
      <c r="E49" s="21" t="n">
        <v>71.0</v>
      </c>
      <c r="F49" s="22" t="n">
        <f>0</f>
        <v>0.0</v>
      </c>
      <c r="G49" s="21" t="n">
        <v>1.34364E8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1714.0</v>
      </c>
      <c r="F50" s="22" t="n">
        <f>1596</f>
        <v>1596.0</v>
      </c>
      <c r="G50" s="21" t="n">
        <v>3.24402668E9</v>
      </c>
      <c r="H50" s="22" t="n">
        <f>3020609180</f>
        <v>3.02060918E9</v>
      </c>
    </row>
    <row r="51" spans="1:8" ht="24.9" customHeight="1">
      <c r="A51" s="51"/>
      <c r="B51" s="57"/>
      <c r="C51" s="39"/>
      <c r="D51" s="24" t="s">
        <v>18</v>
      </c>
      <c r="E51" s="25" t="n">
        <v>1785.0</v>
      </c>
      <c r="F51" s="26" t="n">
        <f>1596</f>
        <v>1596.0</v>
      </c>
      <c r="G51" s="25" t="n">
        <v>3.37839068E9</v>
      </c>
      <c r="H51" s="26" t="n">
        <f>3020609180</f>
        <v>3.02060918E9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1067.0</v>
      </c>
      <c r="F56" s="18" t="n">
        <f>10</f>
        <v>10.0</v>
      </c>
      <c r="G56" s="17" t="n">
        <v>8.07082E8</v>
      </c>
      <c r="H56" s="18" t="n">
        <f>7566000</f>
        <v>7566000.0</v>
      </c>
    </row>
    <row r="57" spans="1:8" ht="24.9" customHeight="1">
      <c r="A57" s="51"/>
      <c r="B57" s="57"/>
      <c r="C57" s="39"/>
      <c r="D57" s="20" t="s">
        <v>16</v>
      </c>
      <c r="E57" s="21" t="n">
        <v>1495.0</v>
      </c>
      <c r="F57" s="22" t="n">
        <f>55</f>
        <v>55.0</v>
      </c>
      <c r="G57" s="21" t="n">
        <v>1.1234587E9</v>
      </c>
      <c r="H57" s="22" t="n">
        <f>41313700</f>
        <v>4.13137E7</v>
      </c>
    </row>
    <row r="58" spans="1:8" ht="24.9" customHeight="1">
      <c r="A58" s="51"/>
      <c r="B58" s="57"/>
      <c r="C58" s="39"/>
      <c r="D58" s="20" t="s">
        <v>17</v>
      </c>
      <c r="E58" s="21" t="n">
        <v>1954.0</v>
      </c>
      <c r="F58" s="22" t="n">
        <f>90</f>
        <v>90.0</v>
      </c>
      <c r="G58" s="21" t="n">
        <v>1.4681472E9</v>
      </c>
      <c r="H58" s="22" t="n">
        <f>68183200</f>
        <v>6.81832E7</v>
      </c>
    </row>
    <row r="59" spans="1:8" ht="24.9" customHeight="1">
      <c r="A59" s="51"/>
      <c r="B59" s="57"/>
      <c r="C59" s="39"/>
      <c r="D59" s="24" t="s">
        <v>18</v>
      </c>
      <c r="E59" s="25" t="n">
        <v>4516.0</v>
      </c>
      <c r="F59" s="26" t="n">
        <f>155</f>
        <v>155.0</v>
      </c>
      <c r="G59" s="25" t="n">
        <v>3.3986879E9</v>
      </c>
      <c r="H59" s="26" t="n">
        <f>117062900</f>
        <v>1.170629E8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135.0</v>
      </c>
      <c r="F60" s="18" t="n">
        <f>0</f>
        <v>0.0</v>
      </c>
      <c r="G60" s="17" t="n">
        <v>6.661318E8</v>
      </c>
      <c r="H60" s="18" t="n">
        <f>0</f>
        <v>0.0</v>
      </c>
    </row>
    <row r="61" spans="1:8" ht="24.9" customHeight="1">
      <c r="A61" s="51"/>
      <c r="B61" s="57"/>
      <c r="C61" s="39"/>
      <c r="D61" s="20" t="s">
        <v>16</v>
      </c>
      <c r="E61" s="21" t="n">
        <v>15.0</v>
      </c>
      <c r="F61" s="22" t="n">
        <f>0</f>
        <v>0.0</v>
      </c>
      <c r="G61" s="21" t="n">
        <v>7.41729E7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16.0</v>
      </c>
      <c r="F62" s="22" t="n">
        <f>0</f>
        <v>0.0</v>
      </c>
      <c r="G62" s="21" t="n">
        <v>7.89956E7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166.0</v>
      </c>
      <c r="F63" s="26" t="n">
        <f>0</f>
        <v>0.0</v>
      </c>
      <c r="G63" s="25" t="n">
        <v>8.193003E8</v>
      </c>
      <c r="H63" s="26" t="n">
        <f>0</f>
        <v>0.0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1.0</v>
      </c>
      <c r="F77" s="22" t="n">
        <f>0</f>
        <v>0.0</v>
      </c>
      <c r="G77" s="21" t="n">
        <v>335500.0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1.0</v>
      </c>
      <c r="F78" s="22" t="n">
        <f>0</f>
        <v>0.0</v>
      </c>
      <c r="G78" s="21" t="n">
        <v>336000.0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2.0</v>
      </c>
      <c r="F79" s="26" t="n">
        <f>0</f>
        <v>0.0</v>
      </c>
      <c r="G79" s="25" t="n">
        <v>671500.0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3055.0</v>
      </c>
      <c r="F92" s="18" t="n">
        <f>0</f>
        <v>0.0</v>
      </c>
      <c r="G92" s="17" t="n">
        <v>4.8533596E9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200.0</v>
      </c>
      <c r="F93" s="22" t="n">
        <f>0</f>
        <v>0.0</v>
      </c>
      <c r="G93" s="21" t="n">
        <v>3.1821E8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301.0</v>
      </c>
      <c r="F94" s="22" t="n">
        <f>0</f>
        <v>0.0</v>
      </c>
      <c r="G94" s="21" t="n">
        <v>4.788208E8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3556.0</v>
      </c>
      <c r="F95" s="26" t="n">
        <f>0</f>
        <v>0.0</v>
      </c>
      <c r="G95" s="25" t="n">
        <v>5.6503904E9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1.0</v>
      </c>
      <c r="F96" s="18" t="n">
        <f>0</f>
        <v>0.0</v>
      </c>
      <c r="G96" s="17" t="n">
        <v>2333200.0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2.0</v>
      </c>
      <c r="F98" s="22" t="n">
        <f>0</f>
        <v>0.0</v>
      </c>
      <c r="G98" s="21" t="n">
        <v>4669500.0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3.0</v>
      </c>
      <c r="F99" s="26" t="n">
        <f>0</f>
        <v>0.0</v>
      </c>
      <c r="G99" s="25" t="n">
        <v>7002700.0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19.0</v>
      </c>
      <c r="F102" s="22" t="n">
        <f>0</f>
        <v>0.0</v>
      </c>
      <c r="G102" s="21" t="n">
        <v>3.53695E7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19.0</v>
      </c>
      <c r="F103" s="26" t="n">
        <f>0</f>
        <v>0.0</v>
      </c>
      <c r="G103" s="25" t="n">
        <v>3.53695E7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12014.0</v>
      </c>
      <c r="F108" s="18" t="n">
        <f>444</f>
        <v>444.0</v>
      </c>
      <c r="G108" s="17" t="n">
        <v>1.56158462E12</v>
      </c>
      <c r="H108" s="18" t="n">
        <f>57729030000</f>
        <v>5.772903E10</v>
      </c>
    </row>
    <row r="109" spans="1:8" ht="24.9" customHeight="1">
      <c r="A109" s="51"/>
      <c r="B109" s="57"/>
      <c r="C109" s="39"/>
      <c r="D109" s="20" t="s">
        <v>16</v>
      </c>
      <c r="E109" s="21" t="n">
        <v>11220.0</v>
      </c>
      <c r="F109" s="22" t="n">
        <f>643</f>
        <v>643.0</v>
      </c>
      <c r="G109" s="21" t="n">
        <v>1.45762493E12</v>
      </c>
      <c r="H109" s="22" t="n">
        <f>83536190000</f>
        <v>8.353619E10</v>
      </c>
    </row>
    <row r="110" spans="1:8" ht="24.9" customHeight="1">
      <c r="A110" s="51"/>
      <c r="B110" s="57"/>
      <c r="C110" s="39"/>
      <c r="D110" s="20" t="s">
        <v>17</v>
      </c>
      <c r="E110" s="21" t="n">
        <v>9446.0</v>
      </c>
      <c r="F110" s="22" t="n">
        <f>655</f>
        <v>655.0</v>
      </c>
      <c r="G110" s="21" t="n">
        <v>1.22745121E12</v>
      </c>
      <c r="H110" s="22" t="n">
        <f>85105670000</f>
        <v>8.510567E10</v>
      </c>
    </row>
    <row r="111" spans="1:8" ht="24.9" customHeight="1">
      <c r="A111" s="51"/>
      <c r="B111" s="57"/>
      <c r="C111" s="39"/>
      <c r="D111" s="24" t="s">
        <v>18</v>
      </c>
      <c r="E111" s="25" t="n">
        <v>32680.0</v>
      </c>
      <c r="F111" s="26" t="n">
        <f>1742</f>
        <v>1742.0</v>
      </c>
      <c r="G111" s="25" t="n">
        <v>4.24666076E12</v>
      </c>
      <c r="H111" s="26" t="n">
        <f>226370890000</f>
        <v>2.2637089E11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210.0</v>
      </c>
      <c r="F113" s="22" t="n">
        <f>0</f>
        <v>0.0</v>
      </c>
      <c r="G113" s="21" t="n">
        <v>2.72781E9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310.0</v>
      </c>
      <c r="F114" s="22" t="n">
        <f>0</f>
        <v>0.0</v>
      </c>
      <c r="G114" s="21" t="n">
        <v>4.027785E9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520.0</v>
      </c>
      <c r="F115" s="26" t="n">
        <f>0</f>
        <v>0.0</v>
      </c>
      <c r="G115" s="25" t="n">
        <v>6.755595E9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200.0</v>
      </c>
      <c r="F118" s="22" t="n">
        <f>0</f>
        <v>0.0</v>
      </c>
      <c r="G118" s="21" t="n">
        <v>1.9056E9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200.0</v>
      </c>
      <c r="F119" s="26" t="n">
        <f>0</f>
        <v>0.0</v>
      </c>
      <c r="G119" s="25" t="n">
        <v>1.9056E9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206.0</v>
      </c>
      <c r="F120" s="18" t="n">
        <f>0</f>
        <v>0.0</v>
      </c>
      <c r="G120" s="17" t="n">
        <v>5.098008125E9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27.0</v>
      </c>
      <c r="F121" s="22" t="n">
        <f>0</f>
        <v>0.0</v>
      </c>
      <c r="G121" s="21" t="n">
        <v>6.681775E8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117.0</v>
      </c>
      <c r="F122" s="22" t="n">
        <f>0</f>
        <v>0.0</v>
      </c>
      <c r="G122" s="21" t="n">
        <v>2.895773125E9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350.0</v>
      </c>
      <c r="F123" s="26" t="n">
        <f>0</f>
        <v>0.0</v>
      </c>
      <c r="G123" s="25" t="n">
        <v>8.66195875E9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5008.0</v>
      </c>
      <c r="F124" s="18" t="n">
        <f>0</f>
        <v>0.0</v>
      </c>
      <c r="G124" s="17" t="n">
        <v>1.24577683E11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1640.0</v>
      </c>
      <c r="F125" s="22" t="n">
        <f>0</f>
        <v>0.0</v>
      </c>
      <c r="G125" s="21" t="n">
        <v>4.0717943E10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3412.0</v>
      </c>
      <c r="F126" s="22" t="n">
        <f>81</f>
        <v>81.0</v>
      </c>
      <c r="G126" s="21" t="n">
        <v>8.42441E10</v>
      </c>
      <c r="H126" s="22" t="n">
        <f>1998167000</f>
        <v>1.998167E9</v>
      </c>
    </row>
    <row r="127" spans="1:8" ht="24.9" customHeight="1">
      <c r="A127" s="51"/>
      <c r="B127" s="57"/>
      <c r="C127" s="39"/>
      <c r="D127" s="24" t="s">
        <v>18</v>
      </c>
      <c r="E127" s="25" t="n">
        <v>10060.0</v>
      </c>
      <c r="F127" s="26" t="n">
        <f>81</f>
        <v>81.0</v>
      </c>
      <c r="G127" s="25" t="n">
        <v>2.49539726E11</v>
      </c>
      <c r="H127" s="26" t="n">
        <f>1998167000</f>
        <v>1.998167E9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164.0</v>
      </c>
      <c r="F128" s="18" t="n">
        <f>0</f>
        <v>0.0</v>
      </c>
      <c r="G128" s="17" t="n">
        <v>4.072673E8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93.0</v>
      </c>
      <c r="F129" s="22" t="n">
        <f>0</f>
        <v>0.0</v>
      </c>
      <c r="G129" s="21" t="n">
        <v>2.309496E8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148.0</v>
      </c>
      <c r="F130" s="22" t="n">
        <f>0</f>
        <v>0.0</v>
      </c>
      <c r="G130" s="21" t="n">
        <v>3.65684E8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405.0</v>
      </c>
      <c r="F131" s="26" t="n">
        <f>0</f>
        <v>0.0</v>
      </c>
      <c r="G131" s="25" t="n">
        <v>1.0039009E9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9479.0</v>
      </c>
      <c r="F132" s="18" t="n">
        <f>0</f>
        <v>0.0</v>
      </c>
      <c r="G132" s="17" t="n">
        <v>2.365897445E10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1391.0</v>
      </c>
      <c r="F133" s="22" t="n">
        <f>0</f>
        <v>0.0</v>
      </c>
      <c r="G133" s="21" t="n">
        <v>3.46469015E9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3809.0</v>
      </c>
      <c r="F134" s="22" t="n">
        <f>0</f>
        <v>0.0</v>
      </c>
      <c r="G134" s="21" t="n">
        <v>9.4333252E9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14679.0</v>
      </c>
      <c r="F135" s="26" t="n">
        <f>0</f>
        <v>0.0</v>
      </c>
      <c r="G135" s="25" t="n">
        <v>3.65569898E10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74.0</v>
      </c>
      <c r="F136" s="18" t="n">
        <f>0</f>
        <v>0.0</v>
      </c>
      <c r="G136" s="17" t="n">
        <v>1.826797E8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57.0</v>
      </c>
      <c r="F137" s="22" t="n">
        <f>0</f>
        <v>0.0</v>
      </c>
      <c r="G137" s="21" t="n">
        <v>1.403647E8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214.0</v>
      </c>
      <c r="F138" s="22" t="n">
        <f>0</f>
        <v>0.0</v>
      </c>
      <c r="G138" s="21" t="n">
        <v>5.252071E8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345.0</v>
      </c>
      <c r="F139" s="26" t="n">
        <f>0</f>
        <v>0.0</v>
      </c>
      <c r="G139" s="25" t="n">
        <v>8.482515E8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1.0</v>
      </c>
      <c r="F140" s="18" t="n">
        <f>0</f>
        <v>0.0</v>
      </c>
      <c r="G140" s="17" t="n">
        <v>1.17E7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11.0</v>
      </c>
      <c r="F142" s="22" t="n">
        <f>0</f>
        <v>0.0</v>
      </c>
      <c r="G142" s="21" t="n">
        <v>1.25181E8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12.0</v>
      </c>
      <c r="F143" s="26" t="n">
        <f>0</f>
        <v>0.0</v>
      </c>
      <c r="G143" s="25" t="n">
        <v>1.36881E8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1702.0</v>
      </c>
      <c r="F144" s="18" t="n">
        <f>0</f>
        <v>0.0</v>
      </c>
      <c r="G144" s="17" t="n">
        <v>8.737639E9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1015.0</v>
      </c>
      <c r="F145" s="22" t="n">
        <f>0</f>
        <v>0.0</v>
      </c>
      <c r="G145" s="21" t="n">
        <v>5.1914265E9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1462.0</v>
      </c>
      <c r="F146" s="22" t="n">
        <f>0</f>
        <v>0.0</v>
      </c>
      <c r="G146" s="21" t="n">
        <v>7.3805065E9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4179.0</v>
      </c>
      <c r="F147" s="26" t="n">
        <f>0</f>
        <v>0.0</v>
      </c>
      <c r="G147" s="25" t="n">
        <v>2.1309572E10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96.0</v>
      </c>
      <c r="F148" s="18" t="n">
        <f>0</f>
        <v>0.0</v>
      </c>
      <c r="G148" s="17" t="n">
        <v>9.95091E7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90.0</v>
      </c>
      <c r="F149" s="22" t="n">
        <f>0</f>
        <v>0.0</v>
      </c>
      <c r="G149" s="21" t="n">
        <v>9.28833E7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691.0</v>
      </c>
      <c r="F150" s="22" t="n">
        <f>0</f>
        <v>0.0</v>
      </c>
      <c r="G150" s="21" t="n">
        <v>7.040951E8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877.0</v>
      </c>
      <c r="F151" s="26" t="n">
        <f>0</f>
        <v>0.0</v>
      </c>
      <c r="G151" s="25" t="n">
        <v>8.964875E8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292.0</v>
      </c>
      <c r="F152" s="18" t="n">
        <f>0</f>
        <v>0.0</v>
      </c>
      <c r="G152" s="17" t="n">
        <v>2.997443E8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217.0</v>
      </c>
      <c r="F153" s="22" t="n">
        <f>0</f>
        <v>0.0</v>
      </c>
      <c r="G153" s="21" t="n">
        <v>2.2241995E8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199.0</v>
      </c>
      <c r="F154" s="22" t="n">
        <f>0</f>
        <v>0.0</v>
      </c>
      <c r="G154" s="21" t="n">
        <v>2.010374E8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708.0</v>
      </c>
      <c r="F155" s="26" t="n">
        <f>0</f>
        <v>0.0</v>
      </c>
      <c r="G155" s="25" t="n">
        <v>7.2320165E8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169.0</v>
      </c>
      <c r="F156" s="18" t="n">
        <f>0</f>
        <v>0.0</v>
      </c>
      <c r="G156" s="17" t="n">
        <v>1.716183E8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205.0</v>
      </c>
      <c r="F157" s="22" t="n">
        <f>0</f>
        <v>0.0</v>
      </c>
      <c r="G157" s="21" t="n">
        <v>2.083469E8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602.0</v>
      </c>
      <c r="F158" s="22" t="n">
        <f>0</f>
        <v>0.0</v>
      </c>
      <c r="G158" s="21" t="n">
        <v>6.011603E8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976.0</v>
      </c>
      <c r="F159" s="26" t="n">
        <f>0</f>
        <v>0.0</v>
      </c>
      <c r="G159" s="25" t="n">
        <v>9.811255E8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52.0</v>
      </c>
      <c r="F168" s="18" t="n">
        <f>0</f>
        <v>0.0</v>
      </c>
      <c r="G168" s="17" t="n">
        <v>1.02665E8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71.0</v>
      </c>
      <c r="F169" s="22" t="n">
        <f>0</f>
        <v>0.0</v>
      </c>
      <c r="G169" s="21" t="n">
        <v>1.410465E8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565.0</v>
      </c>
      <c r="F170" s="22" t="n">
        <f>0</f>
        <v>0.0</v>
      </c>
      <c r="G170" s="21" t="n">
        <v>1.121374E9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688.0</v>
      </c>
      <c r="F171" s="26" t="n">
        <f>0</f>
        <v>0.0</v>
      </c>
      <c r="G171" s="25" t="n">
        <v>1.3650855E9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181.0</v>
      </c>
      <c r="F176" s="18" t="n">
        <f>0</f>
        <v>0.0</v>
      </c>
      <c r="G176" s="17" t="n">
        <v>3.091935E8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85.0</v>
      </c>
      <c r="F177" s="22" t="n">
        <f>0</f>
        <v>0.0</v>
      </c>
      <c r="G177" s="21" t="n">
        <v>1.457825E8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22.0</v>
      </c>
      <c r="F178" s="22" t="n">
        <f>0</f>
        <v>0.0</v>
      </c>
      <c r="G178" s="21" t="n">
        <v>3.771E7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288.0</v>
      </c>
      <c r="F179" s="26" t="n">
        <f>0</f>
        <v>0.0</v>
      </c>
      <c r="G179" s="25" t="n">
        <v>4.92686E8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342.0</v>
      </c>
      <c r="F204" s="18" t="n">
        <f>0</f>
        <v>0.0</v>
      </c>
      <c r="G204" s="17" t="n">
        <v>1.5062995E9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439.0</v>
      </c>
      <c r="F205" s="22" t="n">
        <f>0</f>
        <v>0.0</v>
      </c>
      <c r="G205" s="21" t="n">
        <v>1.908596E9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1680.0</v>
      </c>
      <c r="F206" s="22" t="n">
        <f>0</f>
        <v>0.0</v>
      </c>
      <c r="G206" s="21" t="n">
        <v>7.418633E9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2461.0</v>
      </c>
      <c r="F207" s="26" t="n">
        <f>0</f>
        <v>0.0</v>
      </c>
      <c r="G207" s="25" t="n">
        <v>1.08335285E10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46136.0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46136.0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5566</f>
        <v>5566.0</v>
      </c>
      <c r="E12" s="35" t="n">
        <f>3962</f>
        <v>3962.0</v>
      </c>
      <c r="F12" s="17" t="n">
        <f>2955</f>
        <v>2955.0</v>
      </c>
      <c r="G12" s="35" t="n">
        <f>1765</f>
        <v>1765.0</v>
      </c>
      <c r="H12" s="17" t="n">
        <f>8521</f>
        <v>8521.0</v>
      </c>
      <c r="I12" s="35" t="n">
        <f>5727</f>
        <v>5727.0</v>
      </c>
      <c r="J12" s="17" t="n">
        <f>1851659450</f>
        <v>1.85165945E9</v>
      </c>
      <c r="K12" s="35" t="n">
        <f>1437702450</f>
        <v>1.43770245E9</v>
      </c>
      <c r="L12" s="17" t="n">
        <f>16041881460</f>
        <v>1.604188146E10</v>
      </c>
      <c r="M12" s="35" t="n">
        <f>15720734460</f>
        <v>1.572073446E10</v>
      </c>
      <c r="N12" s="17" t="n">
        <f>17893540910</f>
        <v>1.789354091E10</v>
      </c>
      <c r="O12" s="35" t="n">
        <f>17158436910</f>
        <v>1.715843691E10</v>
      </c>
    </row>
    <row r="13" spans="1:15" ht="24.9" customHeight="1">
      <c r="A13" s="38"/>
      <c r="B13" s="62"/>
      <c r="C13" s="20" t="s">
        <v>16</v>
      </c>
      <c r="D13" s="21" t="n">
        <f>4440</f>
        <v>4440.0</v>
      </c>
      <c r="E13" s="36" t="n">
        <f>1813</f>
        <v>1813.0</v>
      </c>
      <c r="F13" s="21" t="n">
        <f>2298</f>
        <v>2298.0</v>
      </c>
      <c r="G13" s="36" t="n">
        <f>1024</f>
        <v>1024.0</v>
      </c>
      <c r="H13" s="21" t="n">
        <f>6738</f>
        <v>6738.0</v>
      </c>
      <c r="I13" s="36" t="n">
        <f>2837</f>
        <v>2837.0</v>
      </c>
      <c r="J13" s="21" t="n">
        <f>2390870870</f>
        <v>2.39087087E9</v>
      </c>
      <c r="K13" s="36" t="n">
        <f>1662255870</f>
        <v>1.66225587E9</v>
      </c>
      <c r="L13" s="21" t="n">
        <f>819278720</f>
        <v>8.1927872E8</v>
      </c>
      <c r="M13" s="36" t="n">
        <f>539403720</f>
        <v>5.3940372E8</v>
      </c>
      <c r="N13" s="21" t="n">
        <f>3210149590</f>
        <v>3.21014959E9</v>
      </c>
      <c r="O13" s="36" t="n">
        <f>2201659590</f>
        <v>2.20165959E9</v>
      </c>
    </row>
    <row r="14" spans="1:15" ht="24.9" customHeight="1">
      <c r="A14" s="38"/>
      <c r="B14" s="62"/>
      <c r="C14" s="20" t="s">
        <v>17</v>
      </c>
      <c r="D14" s="21" t="n">
        <f>14496</f>
        <v>14496.0</v>
      </c>
      <c r="E14" s="36" t="n">
        <f>11389</f>
        <v>11389.0</v>
      </c>
      <c r="F14" s="21" t="n">
        <f>7610</f>
        <v>7610.0</v>
      </c>
      <c r="G14" s="36" t="n">
        <f>6334</f>
        <v>6334.0</v>
      </c>
      <c r="H14" s="21" t="n">
        <f>22106</f>
        <v>22106.0</v>
      </c>
      <c r="I14" s="36" t="n">
        <f>17723</f>
        <v>17723.0</v>
      </c>
      <c r="J14" s="21" t="n">
        <f>8651330490</f>
        <v>8.65133049E9</v>
      </c>
      <c r="K14" s="36" t="n">
        <f>7289961490</f>
        <v>7.28996149E9</v>
      </c>
      <c r="L14" s="21" t="n">
        <f>6298244210</f>
        <v>6.29824421E9</v>
      </c>
      <c r="M14" s="36" t="n">
        <f>5801317210</f>
        <v>5.80131721E9</v>
      </c>
      <c r="N14" s="21" t="n">
        <f>14949574700</f>
        <v>1.49495747E10</v>
      </c>
      <c r="O14" s="36" t="n">
        <f>13091278700</f>
        <v>1.30912787E10</v>
      </c>
    </row>
    <row r="15" spans="1:15" ht="24.9" customHeight="1">
      <c r="A15" s="38"/>
      <c r="B15" s="62"/>
      <c r="C15" s="24" t="s">
        <v>18</v>
      </c>
      <c r="D15" s="25" t="n">
        <f>24502</f>
        <v>24502.0</v>
      </c>
      <c r="E15" s="37" t="n">
        <f>17164</f>
        <v>17164.0</v>
      </c>
      <c r="F15" s="25" t="n">
        <f>12863</f>
        <v>12863.0</v>
      </c>
      <c r="G15" s="37" t="n">
        <f>9123</f>
        <v>9123.0</v>
      </c>
      <c r="H15" s="25" t="n">
        <f>37365</f>
        <v>37365.0</v>
      </c>
      <c r="I15" s="37" t="n">
        <f>26287</f>
        <v>26287.0</v>
      </c>
      <c r="J15" s="25" t="n">
        <f>12893860810</f>
        <v>1.289386081E10</v>
      </c>
      <c r="K15" s="37" t="n">
        <f>10389919810</f>
        <v>1.038991981E10</v>
      </c>
      <c r="L15" s="25" t="n">
        <f>23159404390</f>
        <v>2.315940439E10</v>
      </c>
      <c r="M15" s="37" t="n">
        <f>22061455390</f>
        <v>2.206145539E10</v>
      </c>
      <c r="N15" s="25" t="n">
        <f>36053265200</f>
        <v>3.60532652E10</v>
      </c>
      <c r="O15" s="37" t="n">
        <f>32451375200</f>
        <v>3.24513752E10</v>
      </c>
    </row>
    <row r="16" spans="1:15" ht="24.9" customHeight="1">
      <c r="A16" s="38"/>
      <c r="B16" s="61" t="s">
        <v>105</v>
      </c>
      <c r="C16" s="16" t="s">
        <v>15</v>
      </c>
      <c r="D16" s="17" t="n">
        <f>5380</f>
        <v>5380.0</v>
      </c>
      <c r="E16" s="35" t="n">
        <f>600</f>
        <v>600.0</v>
      </c>
      <c r="F16" s="17" t="n">
        <f>3839</f>
        <v>3839.0</v>
      </c>
      <c r="G16" s="35" t="n">
        <f>60</f>
        <v>60.0</v>
      </c>
      <c r="H16" s="17" t="n">
        <f>9219</f>
        <v>9219.0</v>
      </c>
      <c r="I16" s="35" t="n">
        <f>660</f>
        <v>660.0</v>
      </c>
      <c r="J16" s="17" t="n">
        <f>191168480</f>
        <v>1.9116848E8</v>
      </c>
      <c r="K16" s="35" t="n">
        <f>4439180</f>
        <v>4439180.0</v>
      </c>
      <c r="L16" s="17" t="n">
        <f>200365100</f>
        <v>2.003651E8</v>
      </c>
      <c r="M16" s="35" t="n">
        <f>5459200</f>
        <v>5459200.0</v>
      </c>
      <c r="N16" s="17" t="n">
        <f>391533580</f>
        <v>3.9153358E8</v>
      </c>
      <c r="O16" s="35" t="n">
        <f>9898380</f>
        <v>9898380.0</v>
      </c>
    </row>
    <row r="17" spans="1:15" ht="24.9" customHeight="1">
      <c r="A17" s="38"/>
      <c r="B17" s="62"/>
      <c r="C17" s="20" t="s">
        <v>16</v>
      </c>
      <c r="D17" s="21" t="n">
        <f>5749</f>
        <v>5749.0</v>
      </c>
      <c r="E17" s="36" t="n">
        <f>1100</f>
        <v>1100.0</v>
      </c>
      <c r="F17" s="21" t="n">
        <f>3707</f>
        <v>3707.0</v>
      </c>
      <c r="G17" s="36" t="n">
        <f>1090</f>
        <v>1090.0</v>
      </c>
      <c r="H17" s="21" t="n">
        <f>9456</f>
        <v>9456.0</v>
      </c>
      <c r="I17" s="36" t="n">
        <f>2190</f>
        <v>2190.0</v>
      </c>
      <c r="J17" s="21" t="n">
        <f>136379140</f>
        <v>1.3637914E8</v>
      </c>
      <c r="K17" s="36" t="n">
        <f>23366940</f>
        <v>2.336694E7</v>
      </c>
      <c r="L17" s="21" t="n">
        <f>145371260</f>
        <v>1.4537126E8</v>
      </c>
      <c r="M17" s="36" t="n">
        <f>30979860</f>
        <v>3.097986E7</v>
      </c>
      <c r="N17" s="21" t="n">
        <f>281750400</f>
        <v>2.817504E8</v>
      </c>
      <c r="O17" s="36" t="n">
        <f>54346800</f>
        <v>5.43468E7</v>
      </c>
    </row>
    <row r="18" spans="1:15" ht="24.9" customHeight="1">
      <c r="A18" s="38"/>
      <c r="B18" s="62"/>
      <c r="C18" s="20" t="s">
        <v>17</v>
      </c>
      <c r="D18" s="21" t="n">
        <f>9322</f>
        <v>9322.0</v>
      </c>
      <c r="E18" s="36" t="n">
        <f>1250</f>
        <v>1250.0</v>
      </c>
      <c r="F18" s="21" t="n">
        <f>4111</f>
        <v>4111.0</v>
      </c>
      <c r="G18" s="36" t="n">
        <f>1040</f>
        <v>1040.0</v>
      </c>
      <c r="H18" s="21" t="n">
        <f>13433</f>
        <v>13433.0</v>
      </c>
      <c r="I18" s="36" t="n">
        <f>2290</f>
        <v>2290.0</v>
      </c>
      <c r="J18" s="21" t="n">
        <f>241583540</f>
        <v>2.4158354E8</v>
      </c>
      <c r="K18" s="36" t="n">
        <f>3067740</f>
        <v>3067740.0</v>
      </c>
      <c r="L18" s="21" t="n">
        <f>203898000</f>
        <v>2.03898E8</v>
      </c>
      <c r="M18" s="36" t="n">
        <f>47853900</f>
        <v>4.78539E7</v>
      </c>
      <c r="N18" s="21" t="n">
        <f>445481540</f>
        <v>4.4548154E8</v>
      </c>
      <c r="O18" s="36" t="n">
        <f>50921640</f>
        <v>5.092164E7</v>
      </c>
    </row>
    <row r="19" spans="1:15" ht="24.9" customHeight="1">
      <c r="A19" s="38"/>
      <c r="B19" s="62"/>
      <c r="C19" s="24" t="s">
        <v>18</v>
      </c>
      <c r="D19" s="25" t="n">
        <f>20451</f>
        <v>20451.0</v>
      </c>
      <c r="E19" s="37" t="n">
        <f>2950</f>
        <v>2950.0</v>
      </c>
      <c r="F19" s="25" t="n">
        <f>11657</f>
        <v>11657.0</v>
      </c>
      <c r="G19" s="37" t="n">
        <f>2190</f>
        <v>2190.0</v>
      </c>
      <c r="H19" s="25" t="n">
        <f>32108</f>
        <v>32108.0</v>
      </c>
      <c r="I19" s="37" t="n">
        <f>5140</f>
        <v>5140.0</v>
      </c>
      <c r="J19" s="25" t="n">
        <f>569131160</f>
        <v>5.6913116E8</v>
      </c>
      <c r="K19" s="37" t="n">
        <f>30873860</f>
        <v>3.087386E7</v>
      </c>
      <c r="L19" s="25" t="n">
        <f>549634360</f>
        <v>5.4963436E8</v>
      </c>
      <c r="M19" s="37" t="n">
        <f>84292960</f>
        <v>8.429296E7</v>
      </c>
      <c r="N19" s="25" t="n">
        <f>1118765520</f>
        <v>1.11876552E9</v>
      </c>
      <c r="O19" s="37" t="n">
        <f>115166820</f>
        <v>1.1516682E8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10</f>
        <v>10.0</v>
      </c>
      <c r="G21" s="36" t="n">
        <f>0</f>
        <v>0.0</v>
      </c>
      <c r="H21" s="21" t="n">
        <f>10</f>
        <v>10.0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2050000</f>
        <v>2050000.0</v>
      </c>
      <c r="M21" s="36" t="n">
        <f>0</f>
        <v>0.0</v>
      </c>
      <c r="N21" s="21" t="n">
        <f>2050000</f>
        <v>2050000.0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6760</f>
        <v>6760.0</v>
      </c>
      <c r="E22" s="36" t="n">
        <f>6760</f>
        <v>6760.0</v>
      </c>
      <c r="F22" s="21" t="n">
        <f>0</f>
        <v>0.0</v>
      </c>
      <c r="G22" s="36" t="n">
        <f>0</f>
        <v>0.0</v>
      </c>
      <c r="H22" s="21" t="n">
        <f>6760</f>
        <v>6760.0</v>
      </c>
      <c r="I22" s="36" t="n">
        <f>6760</f>
        <v>6760.0</v>
      </c>
      <c r="J22" s="21" t="n">
        <f>3948860000</f>
        <v>3.94886E9</v>
      </c>
      <c r="K22" s="36" t="n">
        <f>3948860000</f>
        <v>3.94886E9</v>
      </c>
      <c r="L22" s="21" t="n">
        <f>0</f>
        <v>0.0</v>
      </c>
      <c r="M22" s="36" t="n">
        <f>0</f>
        <v>0.0</v>
      </c>
      <c r="N22" s="21" t="n">
        <f>3948860000</f>
        <v>3.94886E9</v>
      </c>
      <c r="O22" s="36" t="n">
        <f>3948860000</f>
        <v>3.94886E9</v>
      </c>
    </row>
    <row r="23" spans="1:15" ht="24.9" customHeight="1">
      <c r="A23" s="38"/>
      <c r="B23" s="62"/>
      <c r="C23" s="24" t="s">
        <v>18</v>
      </c>
      <c r="D23" s="25" t="n">
        <f>6760</f>
        <v>6760.0</v>
      </c>
      <c r="E23" s="37" t="n">
        <f>6760</f>
        <v>6760.0</v>
      </c>
      <c r="F23" s="25" t="n">
        <f>10</f>
        <v>10.0</v>
      </c>
      <c r="G23" s="37" t="n">
        <f>0</f>
        <v>0.0</v>
      </c>
      <c r="H23" s="25" t="n">
        <f>6770</f>
        <v>6770.0</v>
      </c>
      <c r="I23" s="37" t="n">
        <f>6760</f>
        <v>6760.0</v>
      </c>
      <c r="J23" s="25" t="n">
        <f>3948860000</f>
        <v>3.94886E9</v>
      </c>
      <c r="K23" s="37" t="n">
        <f>3948860000</f>
        <v>3.94886E9</v>
      </c>
      <c r="L23" s="25" t="n">
        <f>2050000</f>
        <v>2050000.0</v>
      </c>
      <c r="M23" s="37" t="n">
        <f>0</f>
        <v>0.0</v>
      </c>
      <c r="N23" s="25" t="n">
        <f>3950910000</f>
        <v>3.95091E9</v>
      </c>
      <c r="O23" s="37" t="n">
        <f>3948860000</f>
        <v>3.94886E9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27</f>
        <v>27.0</v>
      </c>
      <c r="G36" s="18" t="n">
        <f>0</f>
        <v>0.0</v>
      </c>
      <c r="H36" s="17" t="n">
        <f>27</f>
        <v>27.0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2550000</f>
        <v>2550000.0</v>
      </c>
      <c r="M36" s="18" t="n">
        <f>0</f>
        <v>0.0</v>
      </c>
      <c r="N36" s="17" t="n">
        <f>2550000</f>
        <v>2550000.0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76</f>
        <v>76.0</v>
      </c>
      <c r="E37" s="22" t="n">
        <f>0</f>
        <v>0.0</v>
      </c>
      <c r="F37" s="21" t="n">
        <f>61</f>
        <v>61.0</v>
      </c>
      <c r="G37" s="22" t="n">
        <f>50</f>
        <v>50.0</v>
      </c>
      <c r="H37" s="21" t="n">
        <f>137</f>
        <v>137.0</v>
      </c>
      <c r="I37" s="22" t="n">
        <f>50</f>
        <v>50.0</v>
      </c>
      <c r="J37" s="21" t="n">
        <f>14400000</f>
        <v>1.44E7</v>
      </c>
      <c r="K37" s="22" t="n">
        <f>0</f>
        <v>0.0</v>
      </c>
      <c r="L37" s="21" t="n">
        <f>6740000</f>
        <v>6740000.0</v>
      </c>
      <c r="M37" s="22" t="n">
        <f>5680000</f>
        <v>5680000.0</v>
      </c>
      <c r="N37" s="21" t="n">
        <f>21140000</f>
        <v>2.114E7</v>
      </c>
      <c r="O37" s="22" t="n">
        <f>5680000</f>
        <v>5680000.0</v>
      </c>
    </row>
    <row r="38" spans="1:15" ht="24.9" customHeight="1">
      <c r="A38" s="38"/>
      <c r="B38" s="62"/>
      <c r="C38" s="20" t="s">
        <v>17</v>
      </c>
      <c r="D38" s="21" t="n">
        <f>605</f>
        <v>605.0</v>
      </c>
      <c r="E38" s="36" t="n">
        <f>600</f>
        <v>600.0</v>
      </c>
      <c r="F38" s="21" t="n">
        <f>12</f>
        <v>12.0</v>
      </c>
      <c r="G38" s="36" t="n">
        <f>0</f>
        <v>0.0</v>
      </c>
      <c r="H38" s="21" t="n">
        <f>617</f>
        <v>617.0</v>
      </c>
      <c r="I38" s="36" t="n">
        <f>600</f>
        <v>600.0</v>
      </c>
      <c r="J38" s="21" t="n">
        <f>28100000</f>
        <v>2.81E7</v>
      </c>
      <c r="K38" s="36" t="n">
        <f>26750000</f>
        <v>2.675E7</v>
      </c>
      <c r="L38" s="21" t="n">
        <f>1390000</f>
        <v>1390000.0</v>
      </c>
      <c r="M38" s="36" t="n">
        <f>0</f>
        <v>0.0</v>
      </c>
      <c r="N38" s="21" t="n">
        <f>29490000</f>
        <v>2.949E7</v>
      </c>
      <c r="O38" s="36" t="n">
        <f>26750000</f>
        <v>2.675E7</v>
      </c>
    </row>
    <row r="39" spans="1:15" ht="24.9" customHeight="1">
      <c r="A39" s="38"/>
      <c r="B39" s="62"/>
      <c r="C39" s="24" t="s">
        <v>18</v>
      </c>
      <c r="D39" s="25" t="n">
        <f>681</f>
        <v>681.0</v>
      </c>
      <c r="E39" s="37" t="n">
        <f>600</f>
        <v>600.0</v>
      </c>
      <c r="F39" s="25" t="n">
        <f>100</f>
        <v>100.0</v>
      </c>
      <c r="G39" s="37" t="n">
        <f>50</f>
        <v>50.0</v>
      </c>
      <c r="H39" s="25" t="n">
        <f>781</f>
        <v>781.0</v>
      </c>
      <c r="I39" s="37" t="n">
        <f>650</f>
        <v>650.0</v>
      </c>
      <c r="J39" s="25" t="n">
        <f>42500000</f>
        <v>4.25E7</v>
      </c>
      <c r="K39" s="37" t="n">
        <f>26750000</f>
        <v>2.675E7</v>
      </c>
      <c r="L39" s="25" t="n">
        <f>10680000</f>
        <v>1.068E7</v>
      </c>
      <c r="M39" s="37" t="n">
        <f>5680000</f>
        <v>5680000.0</v>
      </c>
      <c r="N39" s="25" t="n">
        <f>53180000</f>
        <v>5.318E7</v>
      </c>
      <c r="O39" s="37" t="n">
        <f>32430000</f>
        <v>3.243E7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1409</f>
        <v>1409.0</v>
      </c>
      <c r="E41" s="36" t="n">
        <f>500</f>
        <v>500.0</v>
      </c>
      <c r="F41" s="21" t="n">
        <f>1156</f>
        <v>1156.0</v>
      </c>
      <c r="G41" s="36" t="n">
        <f>500</f>
        <v>500.0</v>
      </c>
      <c r="H41" s="21" t="n">
        <f>2565</f>
        <v>2565.0</v>
      </c>
      <c r="I41" s="36" t="n">
        <f>1000</f>
        <v>1000.0</v>
      </c>
      <c r="J41" s="21" t="n">
        <f>31030640</f>
        <v>3.103064E7</v>
      </c>
      <c r="K41" s="36" t="n">
        <f>16000000</f>
        <v>1.6E7</v>
      </c>
      <c r="L41" s="21" t="n">
        <f>19293030</f>
        <v>1.929303E7</v>
      </c>
      <c r="M41" s="36" t="n">
        <f>13500000</f>
        <v>1.35E7</v>
      </c>
      <c r="N41" s="21" t="n">
        <f>50323670</f>
        <v>5.032367E7</v>
      </c>
      <c r="O41" s="36" t="n">
        <f>29500000</f>
        <v>2.95E7</v>
      </c>
    </row>
    <row r="42" spans="1:15" ht="24.9" customHeight="1">
      <c r="A42" s="38"/>
      <c r="B42" s="62"/>
      <c r="C42" s="20" t="s">
        <v>17</v>
      </c>
      <c r="D42" s="21" t="n">
        <f>3255</f>
        <v>3255.0</v>
      </c>
      <c r="E42" s="36" t="n">
        <f>2500</f>
        <v>2500.0</v>
      </c>
      <c r="F42" s="21" t="n">
        <f>6273</f>
        <v>6273.0</v>
      </c>
      <c r="G42" s="36" t="n">
        <f>1000</f>
        <v>1000.0</v>
      </c>
      <c r="H42" s="21" t="n">
        <f>9528</f>
        <v>9528.0</v>
      </c>
      <c r="I42" s="36" t="n">
        <f>3500</f>
        <v>3500.0</v>
      </c>
      <c r="J42" s="21" t="n">
        <f>18356760</f>
        <v>1.835676E7</v>
      </c>
      <c r="K42" s="36" t="n">
        <f>10900000</f>
        <v>1.09E7</v>
      </c>
      <c r="L42" s="21" t="n">
        <f>8391185</f>
        <v>8391185.0</v>
      </c>
      <c r="M42" s="36" t="n">
        <f>1950000</f>
        <v>1950000.0</v>
      </c>
      <c r="N42" s="21" t="n">
        <f>26747945</f>
        <v>2.6747945E7</v>
      </c>
      <c r="O42" s="36" t="n">
        <f>12850000</f>
        <v>1.285E7</v>
      </c>
    </row>
    <row r="43" spans="1:15" ht="24.9" customHeight="1">
      <c r="A43" s="38"/>
      <c r="B43" s="62"/>
      <c r="C43" s="24" t="s">
        <v>18</v>
      </c>
      <c r="D43" s="25" t="n">
        <f>4664</f>
        <v>4664.0</v>
      </c>
      <c r="E43" s="37" t="n">
        <f>3000</f>
        <v>3000.0</v>
      </c>
      <c r="F43" s="25" t="n">
        <f>7429</f>
        <v>7429.0</v>
      </c>
      <c r="G43" s="37" t="n">
        <f>1500</f>
        <v>1500.0</v>
      </c>
      <c r="H43" s="25" t="n">
        <f>12093</f>
        <v>12093.0</v>
      </c>
      <c r="I43" s="37" t="n">
        <f>4500</f>
        <v>4500.0</v>
      </c>
      <c r="J43" s="25" t="n">
        <f>49387400</f>
        <v>4.93874E7</v>
      </c>
      <c r="K43" s="37" t="n">
        <f>26900000</f>
        <v>2.69E7</v>
      </c>
      <c r="L43" s="25" t="n">
        <f>27684215</f>
        <v>2.7684215E7</v>
      </c>
      <c r="M43" s="37" t="n">
        <f>15450000</f>
        <v>1.545E7</v>
      </c>
      <c r="N43" s="25" t="n">
        <f>77071615</f>
        <v>7.7071615E7</v>
      </c>
      <c r="O43" s="37" t="n">
        <f>42350000</f>
        <v>4.235E7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