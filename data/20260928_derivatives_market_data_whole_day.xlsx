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<sst xmlns="http://schemas.openxmlformats.org/spreadsheetml/2006/main" count="528" uniqueCount="129">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</sst>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DATE(2026,09,28)</f>
        <v>46293.0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DATE(2026,09,28)</f>
        <v>46293.0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753807.0</f>
        <v>753807.0</v>
      </c>
      <c r="E12" s="18" t="n">
        <f>34176.0</f>
        <v>34176.0</v>
      </c>
      <c r="F12" s="19" t="n">
        <f>1.0</f>
        <v>1.0</v>
      </c>
      <c r="G12" s="17" t="n">
        <f>5093498852035.0</f>
        <v>5.093498852035E12</v>
      </c>
      <c r="H12" s="18" t="n">
        <f>263631648110.0</f>
        <v>2.6363164811E11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426161.0</f>
        <v>426161.0</v>
      </c>
      <c r="E13" s="22" t="n">
        <f>17699.0</f>
        <v>17699.0</v>
      </c>
      <c r="F13" s="23" t="n">
        <f>1.0</f>
        <v>1.0</v>
      </c>
      <c r="G13" s="21" t="n">
        <f>4037766141625.0</f>
        <v>4.037766141625E12</v>
      </c>
      <c r="H13" s="22" t="n">
        <f>212852189150.0</f>
        <v>2.1285218915E11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454382.0</f>
        <v>454382.0</v>
      </c>
      <c r="E14" s="22" t="n">
        <f>52448.0</f>
        <v>52448.0</v>
      </c>
      <c r="F14" s="23" t="n">
        <f>1.0</f>
        <v>1.0</v>
      </c>
      <c r="G14" s="21" t="n">
        <f>7273318320460.0</f>
        <v>7.27331832046E12</v>
      </c>
      <c r="H14" s="22" t="n">
        <f>1637576786960.0</f>
        <v>1.63757678696E12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1634350.0</f>
        <v>1634350.0</v>
      </c>
      <c r="E15" s="26" t="n">
        <f>104323.0</f>
        <v>104323.0</v>
      </c>
      <c r="F15" s="27" t="n">
        <f>1.0</f>
        <v>1.0</v>
      </c>
      <c r="G15" s="25" t="n">
        <f>16404583314120.0</f>
        <v>1.640458331412E13</v>
      </c>
      <c r="H15" s="26" t="n">
        <f>2114060624220.0</f>
        <v>2.11406062422E12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17468.0</f>
        <v>17468.0</v>
      </c>
      <c r="E16" s="18" t="n">
        <f>60.0</f>
        <v>60.0</v>
      </c>
      <c r="F16" s="19" t="n">
        <f>0.023</f>
        <v>0.023</v>
      </c>
      <c r="G16" s="17" t="n">
        <f>1740028430625.0</f>
        <v>1.740028430625E12</v>
      </c>
      <c r="H16" s="18" t="n">
        <f>7462165000.0</f>
        <v>7.462165E9</v>
      </c>
      <c r="I16" s="19" t="n">
        <f>0.342</f>
        <v>0.342</v>
      </c>
    </row>
    <row r="17" spans="1:9" ht="24.9" customHeight="1">
      <c r="A17" s="41"/>
      <c r="B17" s="39"/>
      <c r="C17" s="20" t="s">
        <v>16</v>
      </c>
      <c r="D17" s="21" t="n">
        <f>11533.0</f>
        <v>11533.0</v>
      </c>
      <c r="E17" s="22" t="n">
        <f>523.0</f>
        <v>523.0</v>
      </c>
      <c r="F17" s="23" t="n">
        <f>0.027</f>
        <v>0.027</v>
      </c>
      <c r="G17" s="21" t="n">
        <f>1265688439375.0</f>
        <v>1.265688439375E12</v>
      </c>
      <c r="H17" s="22" t="n">
        <f>64928610000.0</f>
        <v>6.492861E10</v>
      </c>
      <c r="I17" s="23" t="n">
        <f>0.313</f>
        <v>0.313</v>
      </c>
    </row>
    <row r="18" spans="1:9" ht="24.9" customHeight="1">
      <c r="A18" s="41"/>
      <c r="B18" s="39"/>
      <c r="C18" s="20" t="s">
        <v>17</v>
      </c>
      <c r="D18" s="21" t="n">
        <f>17739.0</f>
        <v>17739.0</v>
      </c>
      <c r="E18" s="22" t="n">
        <f>1263.0</f>
        <v>1263.0</v>
      </c>
      <c r="F18" s="23" t="n">
        <f>0.039</f>
        <v>0.039</v>
      </c>
      <c r="G18" s="21" t="n">
        <f>1848608976500.0</f>
        <v>1.8486089765E12</v>
      </c>
      <c r="H18" s="22" t="n">
        <f>156854970000.0</f>
        <v>1.5685497E11</v>
      </c>
      <c r="I18" s="23" t="n">
        <f>0.254</f>
        <v>0.254</v>
      </c>
    </row>
    <row r="19" spans="1:9" ht="24.9" customHeight="1">
      <c r="A19" s="41"/>
      <c r="B19" s="39"/>
      <c r="C19" s="24" t="s">
        <v>18</v>
      </c>
      <c r="D19" s="25" t="n">
        <f>46740.0</f>
        <v>46740.0</v>
      </c>
      <c r="E19" s="26" t="n">
        <f>1846.0</f>
        <v>1846.0</v>
      </c>
      <c r="F19" s="27" t="n">
        <f>0.029</f>
        <v>0.029</v>
      </c>
      <c r="G19" s="25" t="n">
        <f>4854325846500.0</f>
        <v>4.8543258465E12</v>
      </c>
      <c r="H19" s="26" t="n">
        <f>229245745000.0</f>
        <v>2.29245745E11</v>
      </c>
      <c r="I19" s="27" t="n">
        <f>0.296</f>
        <v>0.296</v>
      </c>
    </row>
    <row r="20" spans="1:9" ht="24.9" customHeight="1">
      <c r="A20" s="41"/>
      <c r="B20" s="39" t="s">
        <v>21</v>
      </c>
      <c r="C20" s="16" t="s">
        <v>15</v>
      </c>
      <c r="D20" s="17" t="n">
        <f>722899.0</f>
        <v>722899.0</v>
      </c>
      <c r="E20" s="18" t="n">
        <f>34116.0</f>
        <v>34116.0</v>
      </c>
      <c r="F20" s="19" t="n">
        <f>0.959</f>
        <v>0.959</v>
      </c>
      <c r="G20" s="17" t="n">
        <f>3234628141410.0</f>
        <v>3.23462814141E12</v>
      </c>
      <c r="H20" s="18" t="n">
        <f>256169483110.0</f>
        <v>2.5616948311E11</v>
      </c>
      <c r="I20" s="19" t="n">
        <f>0.635</f>
        <v>0.635</v>
      </c>
    </row>
    <row r="21" spans="1:9" ht="24.9" customHeight="1">
      <c r="A21" s="41"/>
      <c r="B21" s="39"/>
      <c r="C21" s="20" t="s">
        <v>16</v>
      </c>
      <c r="D21" s="21" t="n">
        <f>406121.0</f>
        <v>406121.0</v>
      </c>
      <c r="E21" s="22" t="n">
        <f>17166.0</f>
        <v>17166.0</v>
      </c>
      <c r="F21" s="23" t="n">
        <f>0.953</f>
        <v>0.953</v>
      </c>
      <c r="G21" s="21" t="n">
        <f>2682136143950.0</f>
        <v>2.68213614395E12</v>
      </c>
      <c r="H21" s="22" t="n">
        <f>147789623150.0</f>
        <v>1.4778962315E11</v>
      </c>
      <c r="I21" s="23" t="n">
        <f>0.664</f>
        <v>0.664</v>
      </c>
    </row>
    <row r="22" spans="1:9" ht="24.9" customHeight="1">
      <c r="A22" s="41"/>
      <c r="B22" s="39"/>
      <c r="C22" s="20" t="s">
        <v>17</v>
      </c>
      <c r="D22" s="21" t="n">
        <f>423966.0</f>
        <v>423966.0</v>
      </c>
      <c r="E22" s="22" t="n">
        <f>51185.0</f>
        <v>51185.0</v>
      </c>
      <c r="F22" s="23" t="n">
        <f>0.933</f>
        <v>0.933</v>
      </c>
      <c r="G22" s="21" t="n">
        <f>5300447072760.0</f>
        <v>5.30044707276E12</v>
      </c>
      <c r="H22" s="22" t="n">
        <f>1480721816960.0</f>
        <v>1.48072181696E12</v>
      </c>
      <c r="I22" s="23" t="n">
        <f>0.729</f>
        <v>0.729</v>
      </c>
    </row>
    <row r="23" spans="1:9" ht="24.9" customHeight="1">
      <c r="A23" s="41"/>
      <c r="B23" s="39"/>
      <c r="C23" s="24" t="s">
        <v>18</v>
      </c>
      <c r="D23" s="25" t="n">
        <f>1552986.0</f>
        <v>1552986.0</v>
      </c>
      <c r="E23" s="26" t="n">
        <f>102467.0</f>
        <v>102467.0</v>
      </c>
      <c r="F23" s="27" t="n">
        <f>0.95</f>
        <v>0.95</v>
      </c>
      <c r="G23" s="25" t="n">
        <f>11217211358120.0</f>
        <v>1.121721135812E13</v>
      </c>
      <c r="H23" s="26" t="n">
        <f>1884680923220.0</f>
        <v>1.88468092322E12</v>
      </c>
      <c r="I23" s="27" t="n">
        <f>0.684</f>
        <v>0.684</v>
      </c>
    </row>
    <row r="24" spans="1:9" ht="24.9" customHeight="1">
      <c r="A24" s="41"/>
      <c r="B24" s="39" t="s">
        <v>22</v>
      </c>
      <c r="C24" s="16" t="s">
        <v>15</v>
      </c>
      <c r="D24" s="17" t="n">
        <f>13166.0</f>
        <v>13166.0</v>
      </c>
      <c r="E24" s="18" t="n">
        <f>0.0</f>
        <v>0.0</v>
      </c>
      <c r="F24" s="19" t="n">
        <f>0.017</f>
        <v>0.017</v>
      </c>
      <c r="G24" s="17" t="n">
        <f>117645080000.0</f>
        <v>1.1764508E11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8330.0</f>
        <v>8330.0</v>
      </c>
      <c r="E25" s="22" t="n">
        <f>0.0</f>
        <v>0.0</v>
      </c>
      <c r="F25" s="23" t="n">
        <f>0.02</f>
        <v>0.02</v>
      </c>
      <c r="G25" s="21" t="n">
        <f>89079349300.0</f>
        <v>8.90793493E10</v>
      </c>
      <c r="H25" s="22" t="n">
        <f>0.0</f>
        <v>0.0</v>
      </c>
      <c r="I25" s="23" t="n">
        <f>0.022</f>
        <v>0.022</v>
      </c>
    </row>
    <row r="26" spans="1:9" ht="24.9" customHeight="1">
      <c r="A26" s="41"/>
      <c r="B26" s="39"/>
      <c r="C26" s="20" t="s">
        <v>17</v>
      </c>
      <c r="D26" s="21" t="n">
        <f>11549.0</f>
        <v>11549.0</v>
      </c>
      <c r="E26" s="22" t="n">
        <f>0.0</f>
        <v>0.0</v>
      </c>
      <c r="F26" s="23" t="n">
        <f>0.025</f>
        <v>0.025</v>
      </c>
      <c r="G26" s="21" t="n">
        <f>119315894700.0</f>
        <v>1.193158947E11</v>
      </c>
      <c r="H26" s="22" t="n">
        <f>0.0</f>
        <v>0.0</v>
      </c>
      <c r="I26" s="23" t="n">
        <f>0.016</f>
        <v>0.016</v>
      </c>
    </row>
    <row r="27" spans="1:9" ht="24.9" customHeight="1">
      <c r="A27" s="42"/>
      <c r="B27" s="39"/>
      <c r="C27" s="24" t="s">
        <v>18</v>
      </c>
      <c r="D27" s="25" t="n">
        <f>33045.0</f>
        <v>33045.0</v>
      </c>
      <c r="E27" s="26" t="n">
        <f>0.0</f>
        <v>0.0</v>
      </c>
      <c r="F27" s="27" t="n">
        <f>0.02</f>
        <v>0.02</v>
      </c>
      <c r="G27" s="25" t="n">
        <f>326040324000.0</f>
        <v>3.26040324E11</v>
      </c>
      <c r="H27" s="26" t="n">
        <f>0.0</f>
        <v>0.0</v>
      </c>
      <c r="I27" s="27" t="n">
        <f>0.02</f>
        <v>0.02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274.0</f>
        <v>274.0</v>
      </c>
      <c r="E28" s="18" t="n">
        <f>0.0</f>
        <v>0.0</v>
      </c>
      <c r="F28" s="19" t="n">
        <f>0.0</f>
        <v>0.0</v>
      </c>
      <c r="G28" s="17" t="n">
        <f>1197200000.0</f>
        <v>1.1972E9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177.0</f>
        <v>177.0</v>
      </c>
      <c r="E29" s="22" t="n">
        <f>10.0</f>
        <v>10.0</v>
      </c>
      <c r="F29" s="23" t="n">
        <f>0.0</f>
        <v>0.0</v>
      </c>
      <c r="G29" s="21" t="n">
        <f>862209000.0</f>
        <v>8.62209E8</v>
      </c>
      <c r="H29" s="22" t="n">
        <f>133956000.0</f>
        <v>1.33956E8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1128.0</f>
        <v>1128.0</v>
      </c>
      <c r="E30" s="22" t="n">
        <f>0.0</f>
        <v>0.0</v>
      </c>
      <c r="F30" s="23" t="n">
        <f>0.002</f>
        <v>0.002</v>
      </c>
      <c r="G30" s="21" t="n">
        <f>4946376500.0</f>
        <v>4.9463765E9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1579.0</f>
        <v>1579.0</v>
      </c>
      <c r="E31" s="26" t="n">
        <f>10.0</f>
        <v>10.0</v>
      </c>
      <c r="F31" s="27" t="n">
        <f>0.001</f>
        <v>0.001</v>
      </c>
      <c r="G31" s="25" t="n">
        <f>7005785500.0</f>
        <v>7.0057855E9</v>
      </c>
      <c r="H31" s="26" t="n">
        <f>133956000.0</f>
        <v>1.33956E8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46293.0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46293.0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20386</f>
        <v>20386.0</v>
      </c>
      <c r="E11" s="18" t="n">
        <f>4735</f>
        <v>4735.0</v>
      </c>
      <c r="F11" s="19" t="n">
        <f>1</f>
        <v>1.0</v>
      </c>
      <c r="G11" s="17" t="n">
        <f>4287244510</f>
        <v>4.28724451E9</v>
      </c>
      <c r="H11" s="18" t="n">
        <f>3275257110</f>
        <v>3.27525711E9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27705</f>
        <v>27705.0</v>
      </c>
      <c r="E12" s="22" t="n">
        <f>2669</f>
        <v>2669.0</v>
      </c>
      <c r="F12" s="23" t="n">
        <f>1</f>
        <v>1.0</v>
      </c>
      <c r="G12" s="21" t="n">
        <f>1691850177</f>
        <v>1.691850177E9</v>
      </c>
      <c r="H12" s="22" t="n">
        <f>568816520</f>
        <v>5.6881652E8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28089</f>
        <v>28089.0</v>
      </c>
      <c r="E13" s="22" t="n">
        <f>10590</f>
        <v>10590.0</v>
      </c>
      <c r="F13" s="23" t="n">
        <f>1</f>
        <v>1.0</v>
      </c>
      <c r="G13" s="21" t="n">
        <f>9961392339</f>
        <v>9.961392339E9</v>
      </c>
      <c r="H13" s="22" t="n">
        <f>8500514912</f>
        <v>8.500514912E9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76180</f>
        <v>76180.0</v>
      </c>
      <c r="E14" s="26" t="n">
        <f>17994</f>
        <v>17994.0</v>
      </c>
      <c r="F14" s="27" t="n">
        <f>1</f>
        <v>1.0</v>
      </c>
      <c r="G14" s="25" t="n">
        <f>15940487026</f>
        <v>1.5940487026E10</v>
      </c>
      <c r="H14" s="26" t="n">
        <f>12344588542</f>
        <v>1.2344588542E10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18</f>
        <v>18.0</v>
      </c>
      <c r="E15" s="18" t="n">
        <f>0</f>
        <v>0.0</v>
      </c>
      <c r="F15" s="19" t="n">
        <f>0.001</f>
        <v>0.001</v>
      </c>
      <c r="G15" s="17" t="n">
        <f>420000</f>
        <v>420000.0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36</f>
        <v>36.0</v>
      </c>
      <c r="E16" s="22" t="n">
        <f>0</f>
        <v>0.0</v>
      </c>
      <c r="F16" s="23" t="n">
        <f>0.001</f>
        <v>0.001</v>
      </c>
      <c r="G16" s="21" t="n">
        <f>3740000</f>
        <v>3740000.0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36</f>
        <v>36.0</v>
      </c>
      <c r="E17" s="22" t="n">
        <f>0</f>
        <v>0.0</v>
      </c>
      <c r="F17" s="23" t="n">
        <f>0.001</f>
        <v>0.001</v>
      </c>
      <c r="G17" s="21" t="n">
        <f>9860000</f>
        <v>9860000.0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90</f>
        <v>90.0</v>
      </c>
      <c r="E18" s="26" t="n">
        <f>0</f>
        <v>0.0</v>
      </c>
      <c r="F18" s="27" t="n">
        <f>0.001</f>
        <v>0.001</v>
      </c>
      <c r="G18" s="25" t="n">
        <f>14020000</f>
        <v>1.402E7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20368</f>
        <v>20368.0</v>
      </c>
      <c r="E19" s="18" t="n">
        <f>4735</f>
        <v>4735.0</v>
      </c>
      <c r="F19" s="19" t="n">
        <f>0.999</f>
        <v>0.999</v>
      </c>
      <c r="G19" s="17" t="n">
        <f>4286824510</f>
        <v>4.28682451E9</v>
      </c>
      <c r="H19" s="18" t="n">
        <f>3275257110</f>
        <v>3.27525711E9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23403</f>
        <v>23403.0</v>
      </c>
      <c r="E20" s="22" t="n">
        <f>2669</f>
        <v>2669.0</v>
      </c>
      <c r="F20" s="23" t="n">
        <f>0.845</f>
        <v>0.845</v>
      </c>
      <c r="G20" s="21" t="n">
        <f>1672059920</f>
        <v>1.67205992E9</v>
      </c>
      <c r="H20" s="22" t="n">
        <f>568816520</f>
        <v>5.6881652E8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25072</f>
        <v>25072.0</v>
      </c>
      <c r="E21" s="22" t="n">
        <f>10590</f>
        <v>10590.0</v>
      </c>
      <c r="F21" s="23" t="n">
        <f>0.893</f>
        <v>0.893</v>
      </c>
      <c r="G21" s="21" t="n">
        <f>9896561612</f>
        <v>9.896561612E9</v>
      </c>
      <c r="H21" s="22" t="n">
        <f>8500514912</f>
        <v>8.500514912E9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68843</f>
        <v>68843.0</v>
      </c>
      <c r="E22" s="26" t="n">
        <f>17994</f>
        <v>17994.0</v>
      </c>
      <c r="F22" s="27" t="n">
        <f>0.904</f>
        <v>0.904</v>
      </c>
      <c r="G22" s="25" t="n">
        <f>15855446042</f>
        <v>1.5855446042E10</v>
      </c>
      <c r="H22" s="26" t="n">
        <f>12344588542</f>
        <v>1.2344588542E10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4266</f>
        <v>4266.0</v>
      </c>
      <c r="E24" s="22" t="n">
        <f>0</f>
        <v>0.0</v>
      </c>
      <c r="F24" s="23" t="n">
        <f>0.154</f>
        <v>0.154</v>
      </c>
      <c r="G24" s="21" t="n">
        <f>16050257</f>
        <v>1.6050257E7</v>
      </c>
      <c r="H24" s="22" t="n">
        <f>0</f>
        <v>0.0</v>
      </c>
      <c r="I24" s="23" t="n">
        <f>0.009</f>
        <v>0.009</v>
      </c>
    </row>
    <row r="25" spans="1:9" ht="24.9" customHeight="1">
      <c r="A25" s="41"/>
      <c r="B25" s="39"/>
      <c r="C25" s="20" t="s">
        <v>17</v>
      </c>
      <c r="D25" s="21" t="n">
        <f>2981</f>
        <v>2981.0</v>
      </c>
      <c r="E25" s="22" t="n">
        <f>0</f>
        <v>0.0</v>
      </c>
      <c r="F25" s="23" t="n">
        <f>0.106</f>
        <v>0.106</v>
      </c>
      <c r="G25" s="21" t="n">
        <f>54970727</f>
        <v>5.4970727E7</v>
      </c>
      <c r="H25" s="22" t="n">
        <f>0</f>
        <v>0.0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7247</f>
        <v>7247.0</v>
      </c>
      <c r="E26" s="26" t="n">
        <f>0</f>
        <v>0.0</v>
      </c>
      <c r="F26" s="27" t="n">
        <f>0.095</f>
        <v>0.095</v>
      </c>
      <c r="G26" s="25" t="n">
        <f>71020984</f>
        <v>7.1020984E7</v>
      </c>
      <c r="H26" s="26" t="n">
        <f>0</f>
        <v>0.0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46293.0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46293.0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8547.0</v>
      </c>
      <c r="F12" s="18" t="n">
        <f>511</f>
        <v>511.0</v>
      </c>
      <c r="G12" s="17" t="n">
        <v>5.666514124E11</v>
      </c>
      <c r="H12" s="18" t="n">
        <f>33845492400</f>
        <v>3.38454924E10</v>
      </c>
    </row>
    <row r="13" spans="1:8" ht="24.9" customHeight="1">
      <c r="A13" s="51"/>
      <c r="B13" s="57"/>
      <c r="C13" s="39"/>
      <c r="D13" s="20" t="s">
        <v>16</v>
      </c>
      <c r="E13" s="21" t="n">
        <v>8166.0</v>
      </c>
      <c r="F13" s="22" t="n">
        <f>339</f>
        <v>339.0</v>
      </c>
      <c r="G13" s="21" t="n">
        <v>5.427497515E11</v>
      </c>
      <c r="H13" s="22" t="n">
        <f>22568761500</f>
        <v>2.25687615E10</v>
      </c>
    </row>
    <row r="14" spans="1:8" ht="24.9" customHeight="1">
      <c r="A14" s="51"/>
      <c r="B14" s="57"/>
      <c r="C14" s="39"/>
      <c r="D14" s="20" t="s">
        <v>17</v>
      </c>
      <c r="E14" s="21" t="n">
        <v>16191.0</v>
      </c>
      <c r="F14" s="22" t="n">
        <f>4004</f>
        <v>4004.0</v>
      </c>
      <c r="G14" s="21" t="n">
        <v>1.06667014061E12</v>
      </c>
      <c r="H14" s="22" t="n">
        <f>263230560610</f>
        <v>2.6323056061E11</v>
      </c>
    </row>
    <row r="15" spans="1:8" ht="24.9" customHeight="1">
      <c r="A15" s="51"/>
      <c r="B15" s="57"/>
      <c r="C15" s="39"/>
      <c r="D15" s="24" t="s">
        <v>18</v>
      </c>
      <c r="E15" s="25" t="n">
        <v>32904.0</v>
      </c>
      <c r="F15" s="26" t="n">
        <f>4854</f>
        <v>4854.0</v>
      </c>
      <c r="G15" s="25" t="n">
        <v>2.17607130451E12</v>
      </c>
      <c r="H15" s="26" t="n">
        <f>319644814510</f>
        <v>3.1964481451E11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259382.0</v>
      </c>
      <c r="F16" s="18" t="n">
        <f>33237</f>
        <v>33237.0</v>
      </c>
      <c r="G16" s="17" t="n">
        <v>1.71860906773E12</v>
      </c>
      <c r="H16" s="18" t="n">
        <f>220182436730</f>
        <v>2.2018243673E11</v>
      </c>
    </row>
    <row r="17" spans="1:8" ht="24.9" customHeight="1">
      <c r="A17" s="51"/>
      <c r="B17" s="57"/>
      <c r="C17" s="39"/>
      <c r="D17" s="20" t="s">
        <v>16</v>
      </c>
      <c r="E17" s="21" t="n">
        <v>166048.0</v>
      </c>
      <c r="F17" s="22" t="n">
        <f>16160</f>
        <v>16160.0</v>
      </c>
      <c r="G17" s="21" t="n">
        <v>1.10365299079E12</v>
      </c>
      <c r="H17" s="22" t="n">
        <f>107387419290</f>
        <v>1.0738741929E11</v>
      </c>
    </row>
    <row r="18" spans="1:8" ht="24.9" customHeight="1">
      <c r="A18" s="51"/>
      <c r="B18" s="57"/>
      <c r="C18" s="39"/>
      <c r="D18" s="20" t="s">
        <v>17</v>
      </c>
      <c r="E18" s="21" t="n">
        <v>144460.0</v>
      </c>
      <c r="F18" s="22" t="n">
        <f>12981</f>
        <v>12981.0</v>
      </c>
      <c r="G18" s="21" t="n">
        <v>9.5314558515E11</v>
      </c>
      <c r="H18" s="22" t="n">
        <f>85655491650</f>
        <v>8.565549165E10</v>
      </c>
    </row>
    <row r="19" spans="1:8" ht="24.9" customHeight="1">
      <c r="A19" s="51"/>
      <c r="B19" s="57"/>
      <c r="C19" s="39"/>
      <c r="D19" s="24" t="s">
        <v>18</v>
      </c>
      <c r="E19" s="25" t="n">
        <v>569890.0</v>
      </c>
      <c r="F19" s="26" t="n">
        <f>62378</f>
        <v>62378.0</v>
      </c>
      <c r="G19" s="25" t="n">
        <v>3.77540764367E12</v>
      </c>
      <c r="H19" s="26" t="n">
        <f>413225347670</f>
        <v>4.1322534767E11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432431.0</v>
      </c>
      <c r="F20" s="18" t="str">
        <f>"－"</f>
        <v>－</v>
      </c>
      <c r="G20" s="17" t="n">
        <v>2.864744966E11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203201.0</v>
      </c>
      <c r="F21" s="22" t="str">
        <f>"－"</f>
        <v>－</v>
      </c>
      <c r="G21" s="21" t="n">
        <v>1.350328554E11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168241.0</v>
      </c>
      <c r="F22" s="22" t="str">
        <f>"－"</f>
        <v>－</v>
      </c>
      <c r="G22" s="21" t="n">
        <v>1.110171152E11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803873.0</v>
      </c>
      <c r="F23" s="26" t="str">
        <f>"－"</f>
        <v>－</v>
      </c>
      <c r="G23" s="25" t="n">
        <v>5.325244672E11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15476.0</v>
      </c>
      <c r="F24" s="18" t="n">
        <f>18</f>
        <v>18.0</v>
      </c>
      <c r="G24" s="17" t="n">
        <v>6.363317108E11</v>
      </c>
      <c r="H24" s="18" t="n">
        <f>739360800</f>
        <v>7.393608E8</v>
      </c>
    </row>
    <row r="25" spans="1:8" ht="24.9" customHeight="1">
      <c r="A25" s="51"/>
      <c r="B25" s="57"/>
      <c r="C25" s="39"/>
      <c r="D25" s="20" t="s">
        <v>16</v>
      </c>
      <c r="E25" s="21" t="n">
        <v>21157.0</v>
      </c>
      <c r="F25" s="22" t="n">
        <f>408</f>
        <v>408.0</v>
      </c>
      <c r="G25" s="21" t="n">
        <v>8.71842405E11</v>
      </c>
      <c r="H25" s="22" t="n">
        <f>16799655000</f>
        <v>1.6799655E10</v>
      </c>
    </row>
    <row r="26" spans="1:8" ht="24.9" customHeight="1">
      <c r="A26" s="51"/>
      <c r="B26" s="57"/>
      <c r="C26" s="39"/>
      <c r="D26" s="20" t="s">
        <v>17</v>
      </c>
      <c r="E26" s="21" t="n">
        <v>75649.0</v>
      </c>
      <c r="F26" s="22" t="n">
        <f>27046</f>
        <v>27046.0</v>
      </c>
      <c r="G26" s="21" t="n">
        <v>3.09668586102E12</v>
      </c>
      <c r="H26" s="22" t="n">
        <f>1105767791020</f>
        <v>1.10576779102E12</v>
      </c>
    </row>
    <row r="27" spans="1:8" ht="24.9" customHeight="1">
      <c r="A27" s="51"/>
      <c r="B27" s="57"/>
      <c r="C27" s="39"/>
      <c r="D27" s="24" t="s">
        <v>18</v>
      </c>
      <c r="E27" s="25" t="n">
        <v>112282.0</v>
      </c>
      <c r="F27" s="26" t="n">
        <f>27472</f>
        <v>27472.0</v>
      </c>
      <c r="G27" s="25" t="n">
        <v>4.60485997682E12</v>
      </c>
      <c r="H27" s="26" t="n">
        <f>1123306806820</f>
        <v>1.12330680682E12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5474.0</v>
      </c>
      <c r="F28" s="18" t="n">
        <f>328</f>
        <v>328.0</v>
      </c>
      <c r="G28" s="17" t="n">
        <v>2.250662407E10</v>
      </c>
      <c r="H28" s="18" t="n">
        <f>1348360070</f>
        <v>1.34836007E9</v>
      </c>
    </row>
    <row r="29" spans="1:8" ht="24.9" customHeight="1">
      <c r="A29" s="51"/>
      <c r="B29" s="57"/>
      <c r="C29" s="39"/>
      <c r="D29" s="20" t="s">
        <v>16</v>
      </c>
      <c r="E29" s="21" t="n">
        <v>6238.0</v>
      </c>
      <c r="F29" s="22" t="n">
        <f>248</f>
        <v>248.0</v>
      </c>
      <c r="G29" s="21" t="n">
        <v>2.570105195E10</v>
      </c>
      <c r="H29" s="22" t="n">
        <f>1022221450</f>
        <v>1.02222145E9</v>
      </c>
    </row>
    <row r="30" spans="1:8" ht="24.9" customHeight="1">
      <c r="A30" s="51"/>
      <c r="B30" s="57"/>
      <c r="C30" s="39"/>
      <c r="D30" s="20" t="s">
        <v>17</v>
      </c>
      <c r="E30" s="21" t="n">
        <v>10719.0</v>
      </c>
      <c r="F30" s="22" t="n">
        <f>315</f>
        <v>315.0</v>
      </c>
      <c r="G30" s="21" t="n">
        <v>4.38983745E10</v>
      </c>
      <c r="H30" s="22" t="n">
        <f>1291586000</f>
        <v>1.291586E9</v>
      </c>
    </row>
    <row r="31" spans="1:8" ht="24.9" customHeight="1">
      <c r="A31" s="51"/>
      <c r="B31" s="57"/>
      <c r="C31" s="39"/>
      <c r="D31" s="24" t="s">
        <v>18</v>
      </c>
      <c r="E31" s="25" t="n">
        <v>22431.0</v>
      </c>
      <c r="F31" s="26" t="n">
        <f>891</f>
        <v>891.0</v>
      </c>
      <c r="G31" s="25" t="n">
        <v>9.210605052E10</v>
      </c>
      <c r="H31" s="26" t="n">
        <f>3662167520</f>
        <v>3.66216752E9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495.0</v>
      </c>
      <c r="F36" s="18" t="n">
        <f>1</f>
        <v>1.0</v>
      </c>
      <c r="G36" s="17" t="n">
        <v>1.82346699E9</v>
      </c>
      <c r="H36" s="18" t="n">
        <f>3681490</f>
        <v>3681490.0</v>
      </c>
    </row>
    <row r="37" spans="1:8" ht="24.9" customHeight="1">
      <c r="A37" s="51"/>
      <c r="B37" s="57"/>
      <c r="C37" s="39"/>
      <c r="D37" s="20" t="s">
        <v>16</v>
      </c>
      <c r="E37" s="21" t="n">
        <v>666.0</v>
      </c>
      <c r="F37" s="22" t="n">
        <f>1</f>
        <v>1.0</v>
      </c>
      <c r="G37" s="21" t="n">
        <v>2.45767251E9</v>
      </c>
      <c r="H37" s="22" t="n">
        <f>3684010</f>
        <v>3684010.0</v>
      </c>
    </row>
    <row r="38" spans="1:8" ht="24.9" customHeight="1">
      <c r="A38" s="51"/>
      <c r="B38" s="57"/>
      <c r="C38" s="39"/>
      <c r="D38" s="20" t="s">
        <v>17</v>
      </c>
      <c r="E38" s="21" t="n">
        <v>6539.0</v>
      </c>
      <c r="F38" s="22" t="n">
        <f>5787</f>
        <v>5787.0</v>
      </c>
      <c r="G38" s="21" t="n">
        <v>2.393811985E10</v>
      </c>
      <c r="H38" s="22" t="n">
        <f>21180935850</f>
        <v>2.118093585E10</v>
      </c>
    </row>
    <row r="39" spans="1:8" ht="24.9" customHeight="1">
      <c r="A39" s="51"/>
      <c r="B39" s="57"/>
      <c r="C39" s="39"/>
      <c r="D39" s="24" t="s">
        <v>18</v>
      </c>
      <c r="E39" s="25" t="n">
        <v>7700.0</v>
      </c>
      <c r="F39" s="26" t="n">
        <f>5789</f>
        <v>5789.0</v>
      </c>
      <c r="G39" s="25" t="n">
        <v>2.821925935E10</v>
      </c>
      <c r="H39" s="26" t="n">
        <f>21188301350</f>
        <v>2.118830135E10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320.0</v>
      </c>
      <c r="F46" s="22" t="n">
        <f>320</f>
        <v>320.0</v>
      </c>
      <c r="G46" s="21" t="n">
        <v>2.48869376E9</v>
      </c>
      <c r="H46" s="22" t="n">
        <f>2488693760</f>
        <v>2.48869376E9</v>
      </c>
    </row>
    <row r="47" spans="1:8" ht="24.9" customHeight="1">
      <c r="A47" s="51"/>
      <c r="B47" s="57"/>
      <c r="C47" s="39"/>
      <c r="D47" s="24" t="s">
        <v>18</v>
      </c>
      <c r="E47" s="25" t="n">
        <v>320.0</v>
      </c>
      <c r="F47" s="26" t="n">
        <f>320</f>
        <v>320.0</v>
      </c>
      <c r="G47" s="25" t="n">
        <v>2.48869376E9</v>
      </c>
      <c r="H47" s="26" t="n">
        <f>2488693760</f>
        <v>2.48869376E9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5.0</v>
      </c>
      <c r="F48" s="18" t="n">
        <f>3</f>
        <v>3.0</v>
      </c>
      <c r="G48" s="17" t="n">
        <v>8621000.0</v>
      </c>
      <c r="H48" s="18" t="n">
        <f>5172000</f>
        <v>5172000.0</v>
      </c>
    </row>
    <row r="49" spans="1:8" ht="24.9" customHeight="1">
      <c r="A49" s="51"/>
      <c r="B49" s="57"/>
      <c r="C49" s="39"/>
      <c r="D49" s="20" t="s">
        <v>16</v>
      </c>
      <c r="E49" s="21" t="n">
        <v>59.0</v>
      </c>
      <c r="F49" s="22" t="n">
        <f>0</f>
        <v>0.0</v>
      </c>
      <c r="G49" s="21" t="n">
        <v>1.01655E8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1021.0</v>
      </c>
      <c r="F50" s="22" t="n">
        <f>549</f>
        <v>549.0</v>
      </c>
      <c r="G50" s="21" t="n">
        <v>1.75748099E9</v>
      </c>
      <c r="H50" s="22" t="n">
        <f>944574990</f>
        <v>9.4457499E8</v>
      </c>
    </row>
    <row r="51" spans="1:8" ht="24.9" customHeight="1">
      <c r="A51" s="51"/>
      <c r="B51" s="57"/>
      <c r="C51" s="39"/>
      <c r="D51" s="24" t="s">
        <v>18</v>
      </c>
      <c r="E51" s="25" t="n">
        <v>1085.0</v>
      </c>
      <c r="F51" s="26" t="n">
        <f>552</f>
        <v>552.0</v>
      </c>
      <c r="G51" s="25" t="n">
        <v>1.86775699E9</v>
      </c>
      <c r="H51" s="26" t="n">
        <f>949746990</f>
        <v>9.4974699E8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443.0</v>
      </c>
      <c r="F56" s="18" t="n">
        <f>11</f>
        <v>11.0</v>
      </c>
      <c r="G56" s="17" t="n">
        <v>3.48152E8</v>
      </c>
      <c r="H56" s="18" t="n">
        <f>8665000</f>
        <v>8665000.0</v>
      </c>
    </row>
    <row r="57" spans="1:8" ht="24.9" customHeight="1">
      <c r="A57" s="51"/>
      <c r="B57" s="57"/>
      <c r="C57" s="39"/>
      <c r="D57" s="20" t="s">
        <v>16</v>
      </c>
      <c r="E57" s="21" t="n">
        <v>437.0</v>
      </c>
      <c r="F57" s="22" t="n">
        <f>10</f>
        <v>10.0</v>
      </c>
      <c r="G57" s="21" t="n">
        <v>3.435899E8</v>
      </c>
      <c r="H57" s="22" t="n">
        <f>7881900</f>
        <v>7881900.0</v>
      </c>
    </row>
    <row r="58" spans="1:8" ht="24.9" customHeight="1">
      <c r="A58" s="51"/>
      <c r="B58" s="57"/>
      <c r="C58" s="39"/>
      <c r="D58" s="20" t="s">
        <v>17</v>
      </c>
      <c r="E58" s="21" t="n">
        <v>692.0</v>
      </c>
      <c r="F58" s="22" t="n">
        <f>179</f>
        <v>179.0</v>
      </c>
      <c r="G58" s="21" t="n">
        <v>5.4120848E8</v>
      </c>
      <c r="H58" s="22" t="n">
        <f>141394480</f>
        <v>1.4139448E8</v>
      </c>
    </row>
    <row r="59" spans="1:8" ht="24.9" customHeight="1">
      <c r="A59" s="51"/>
      <c r="B59" s="57"/>
      <c r="C59" s="39"/>
      <c r="D59" s="24" t="s">
        <v>18</v>
      </c>
      <c r="E59" s="25" t="n">
        <v>1572.0</v>
      </c>
      <c r="F59" s="26" t="n">
        <f>200</f>
        <v>200.0</v>
      </c>
      <c r="G59" s="25" t="n">
        <v>1.23295038E9</v>
      </c>
      <c r="H59" s="26" t="n">
        <f>157941380</f>
        <v>1.5794138E8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222.0</v>
      </c>
      <c r="F60" s="18" t="n">
        <f>7</f>
        <v>7.0</v>
      </c>
      <c r="G60" s="17" t="n">
        <v>1.15412802E9</v>
      </c>
      <c r="H60" s="18" t="n">
        <f>36314620</f>
        <v>3.631462E7</v>
      </c>
    </row>
    <row r="61" spans="1:8" ht="24.9" customHeight="1">
      <c r="A61" s="51"/>
      <c r="B61" s="57"/>
      <c r="C61" s="39"/>
      <c r="D61" s="20" t="s">
        <v>16</v>
      </c>
      <c r="E61" s="21" t="n">
        <v>24.0</v>
      </c>
      <c r="F61" s="22" t="n">
        <f>0</f>
        <v>0.0</v>
      </c>
      <c r="G61" s="21" t="n">
        <v>1.247833E8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19.0</v>
      </c>
      <c r="F62" s="22" t="n">
        <f>4</f>
        <v>4.0</v>
      </c>
      <c r="G62" s="21" t="n">
        <v>9.87783E7</v>
      </c>
      <c r="H62" s="22" t="n">
        <f>20788600</f>
        <v>2.07886E7</v>
      </c>
    </row>
    <row r="63" spans="1:8" ht="24.9" customHeight="1">
      <c r="A63" s="51"/>
      <c r="B63" s="57"/>
      <c r="C63" s="39"/>
      <c r="D63" s="24" t="s">
        <v>18</v>
      </c>
      <c r="E63" s="25" t="n">
        <v>265.0</v>
      </c>
      <c r="F63" s="26" t="n">
        <f>11</f>
        <v>11.0</v>
      </c>
      <c r="G63" s="25" t="n">
        <v>1.37768962E9</v>
      </c>
      <c r="H63" s="26" t="n">
        <f>57103220</f>
        <v>5.710322E7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59.0</v>
      </c>
      <c r="F77" s="22" t="n">
        <f>0</f>
        <v>0.0</v>
      </c>
      <c r="G77" s="21" t="n">
        <v>1.7382E7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7.0</v>
      </c>
      <c r="F78" s="22" t="n">
        <f>0</f>
        <v>0.0</v>
      </c>
      <c r="G78" s="21" t="n">
        <v>2083500.0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66.0</v>
      </c>
      <c r="F79" s="26" t="n">
        <f>0</f>
        <v>0.0</v>
      </c>
      <c r="G79" s="25" t="n">
        <v>1.94655E7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310.0</v>
      </c>
      <c r="F92" s="18" t="n">
        <f>0</f>
        <v>0.0</v>
      </c>
      <c r="G92" s="17" t="n">
        <v>4.860384E8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55.0</v>
      </c>
      <c r="F93" s="22" t="n">
        <f>0</f>
        <v>0.0</v>
      </c>
      <c r="G93" s="21" t="n">
        <v>8.61874E7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64.0</v>
      </c>
      <c r="F94" s="22" t="n">
        <f>0</f>
        <v>0.0</v>
      </c>
      <c r="G94" s="21" t="n">
        <v>1.003086E8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429.0</v>
      </c>
      <c r="F95" s="26" t="n">
        <f>0</f>
        <v>0.0</v>
      </c>
      <c r="G95" s="25" t="n">
        <v>6.725344E8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54.0</v>
      </c>
      <c r="F96" s="18" t="n">
        <f>0</f>
        <v>0.0</v>
      </c>
      <c r="G96" s="17" t="n">
        <v>1.267774E8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11.0</v>
      </c>
      <c r="F97" s="22" t="n">
        <f>0</f>
        <v>0.0</v>
      </c>
      <c r="G97" s="21" t="n">
        <v>2.58192E7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44.0</v>
      </c>
      <c r="F98" s="22" t="n">
        <f>0</f>
        <v>0.0</v>
      </c>
      <c r="G98" s="21" t="n">
        <v>1.033228E8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109.0</v>
      </c>
      <c r="F99" s="26" t="n">
        <f>0</f>
        <v>0.0</v>
      </c>
      <c r="G99" s="25" t="n">
        <v>2.559194E8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60.0</v>
      </c>
      <c r="F100" s="18" t="n">
        <f>0</f>
        <v>0.0</v>
      </c>
      <c r="G100" s="17" t="n">
        <v>1.07646E8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60.0</v>
      </c>
      <c r="F103" s="26" t="n">
        <f>0</f>
        <v>0.0</v>
      </c>
      <c r="G103" s="25" t="n">
        <v>1.07646E8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13137.0</v>
      </c>
      <c r="F108" s="18" t="n">
        <f>60</f>
        <v>60.0</v>
      </c>
      <c r="G108" s="17" t="n">
        <v>1.633307935E12</v>
      </c>
      <c r="H108" s="18" t="n">
        <f>7462165000</f>
        <v>7.462165E9</v>
      </c>
    </row>
    <row r="109" spans="1:8" ht="24.9" customHeight="1">
      <c r="A109" s="51"/>
      <c r="B109" s="57"/>
      <c r="C109" s="39"/>
      <c r="D109" s="20" t="s">
        <v>16</v>
      </c>
      <c r="E109" s="21" t="n">
        <v>10013.0</v>
      </c>
      <c r="F109" s="22" t="n">
        <f>523</f>
        <v>523.0</v>
      </c>
      <c r="G109" s="21" t="n">
        <v>1.24329369E12</v>
      </c>
      <c r="H109" s="22" t="n">
        <f>64928610000</f>
        <v>6.492861E10</v>
      </c>
    </row>
    <row r="110" spans="1:8" ht="24.9" customHeight="1">
      <c r="A110" s="51"/>
      <c r="B110" s="57"/>
      <c r="C110" s="39"/>
      <c r="D110" s="20" t="s">
        <v>17</v>
      </c>
      <c r="E110" s="21" t="n">
        <v>14446.0</v>
      </c>
      <c r="F110" s="22" t="n">
        <f>1263</f>
        <v>1263.0</v>
      </c>
      <c r="G110" s="21" t="n">
        <v>1.79397372E12</v>
      </c>
      <c r="H110" s="22" t="n">
        <f>156854970000</f>
        <v>1.5685497E11</v>
      </c>
    </row>
    <row r="111" spans="1:8" ht="24.9" customHeight="1">
      <c r="A111" s="51"/>
      <c r="B111" s="57"/>
      <c r="C111" s="39"/>
      <c r="D111" s="24" t="s">
        <v>18</v>
      </c>
      <c r="E111" s="25" t="n">
        <v>37596.0</v>
      </c>
      <c r="F111" s="26" t="n">
        <f>1846</f>
        <v>1846.0</v>
      </c>
      <c r="G111" s="25" t="n">
        <v>4.670575345E12</v>
      </c>
      <c r="H111" s="26" t="n">
        <f>229245745000</f>
        <v>2.29245745E11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1230.0</v>
      </c>
      <c r="F113" s="22" t="n">
        <f>0</f>
        <v>0.0</v>
      </c>
      <c r="G113" s="21" t="n">
        <v>1.527342E10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2138.0</v>
      </c>
      <c r="F114" s="22" t="n">
        <f>0</f>
        <v>0.0</v>
      </c>
      <c r="G114" s="21" t="n">
        <v>2.6546109E10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3368.0</v>
      </c>
      <c r="F115" s="26" t="n">
        <f>0</f>
        <v>0.0</v>
      </c>
      <c r="G115" s="25" t="n">
        <v>4.1819529E10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25.0</v>
      </c>
      <c r="F118" s="22" t="n">
        <f>0</f>
        <v>0.0</v>
      </c>
      <c r="G118" s="21" t="n">
        <v>2.2175E8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25.0</v>
      </c>
      <c r="F119" s="26" t="n">
        <f>0</f>
        <v>0.0</v>
      </c>
      <c r="G119" s="25" t="n">
        <v>2.2175E8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4331.0</v>
      </c>
      <c r="F120" s="18" t="n">
        <f>0</f>
        <v>0.0</v>
      </c>
      <c r="G120" s="17" t="n">
        <v>1.06720495625E11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290.0</v>
      </c>
      <c r="F121" s="22" t="n">
        <f>0</f>
        <v>0.0</v>
      </c>
      <c r="G121" s="21" t="n">
        <v>7.121329375E9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1130.0</v>
      </c>
      <c r="F122" s="22" t="n">
        <f>0</f>
        <v>0.0</v>
      </c>
      <c r="G122" s="21" t="n">
        <v>2.78673975E10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5751.0</v>
      </c>
      <c r="F123" s="26" t="n">
        <f>0</f>
        <v>0.0</v>
      </c>
      <c r="G123" s="25" t="n">
        <v>1.417092225E11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4162.0</v>
      </c>
      <c r="F124" s="18" t="n">
        <f>0</f>
        <v>0.0</v>
      </c>
      <c r="G124" s="17" t="n">
        <v>9.2738081E10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3533.0</v>
      </c>
      <c r="F125" s="22" t="n">
        <f>0</f>
        <v>0.0</v>
      </c>
      <c r="G125" s="21" t="n">
        <v>7.7842217E10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4753.0</v>
      </c>
      <c r="F126" s="22" t="n">
        <f>0</f>
        <v>0.0</v>
      </c>
      <c r="G126" s="21" t="n">
        <v>1.03244736E11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12448.0</v>
      </c>
      <c r="F127" s="26" t="n">
        <f>0</f>
        <v>0.0</v>
      </c>
      <c r="G127" s="25" t="n">
        <v>2.73825034E11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25.0</v>
      </c>
      <c r="F128" s="18" t="n">
        <f>0</f>
        <v>0.0</v>
      </c>
      <c r="G128" s="17" t="n">
        <v>5.49275E7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47.0</v>
      </c>
      <c r="F129" s="22" t="n">
        <f>0</f>
        <v>0.0</v>
      </c>
      <c r="G129" s="21" t="n">
        <v>1.023452E8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181.0</v>
      </c>
      <c r="F130" s="22" t="n">
        <f>0</f>
        <v>0.0</v>
      </c>
      <c r="G130" s="21" t="n">
        <v>3.885624E8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253.0</v>
      </c>
      <c r="F131" s="26" t="n">
        <f>0</f>
        <v>0.0</v>
      </c>
      <c r="G131" s="25" t="n">
        <v>5.458351E8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6022.0</v>
      </c>
      <c r="F132" s="18" t="n">
        <f>0</f>
        <v>0.0</v>
      </c>
      <c r="G132" s="17" t="n">
        <v>1.34593794E10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3136.0</v>
      </c>
      <c r="F133" s="22" t="n">
        <f>0</f>
        <v>0.0</v>
      </c>
      <c r="G133" s="21" t="n">
        <v>6.92897015E9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3945.0</v>
      </c>
      <c r="F134" s="22" t="n">
        <f>0</f>
        <v>0.0</v>
      </c>
      <c r="G134" s="21" t="n">
        <v>8.6078312E9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13103.0</v>
      </c>
      <c r="F135" s="26" t="n">
        <f>0</f>
        <v>0.0</v>
      </c>
      <c r="G135" s="25" t="n">
        <v>2.899618075E10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15.0</v>
      </c>
      <c r="F136" s="18" t="n">
        <f>0</f>
        <v>0.0</v>
      </c>
      <c r="G136" s="17" t="n">
        <v>3.26371E7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13.0</v>
      </c>
      <c r="F137" s="22" t="n">
        <f>0</f>
        <v>0.0</v>
      </c>
      <c r="G137" s="21" t="n">
        <v>2.79767E7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138.0</v>
      </c>
      <c r="F138" s="22" t="n">
        <f>0</f>
        <v>0.0</v>
      </c>
      <c r="G138" s="21" t="n">
        <v>2.934797E8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166.0</v>
      </c>
      <c r="F139" s="26" t="n">
        <f>0</f>
        <v>0.0</v>
      </c>
      <c r="G139" s="25" t="n">
        <v>3.540935E8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2476.0</v>
      </c>
      <c r="F144" s="18" t="n">
        <f>0</f>
        <v>0.0</v>
      </c>
      <c r="G144" s="17" t="n">
        <v>1.08587705E10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687.0</v>
      </c>
      <c r="F145" s="22" t="n">
        <f>0</f>
        <v>0.0</v>
      </c>
      <c r="G145" s="21" t="n">
        <v>2.9846055E9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1190.0</v>
      </c>
      <c r="F146" s="22" t="n">
        <f>0</f>
        <v>0.0</v>
      </c>
      <c r="G146" s="21" t="n">
        <v>5.107722E9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4353.0</v>
      </c>
      <c r="F147" s="26" t="n">
        <f>0</f>
        <v>0.0</v>
      </c>
      <c r="G147" s="25" t="n">
        <v>1.8951098E10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0.0</v>
      </c>
      <c r="F148" s="18" t="n">
        <f>0</f>
        <v>0.0</v>
      </c>
      <c r="G148" s="17" t="n">
        <v>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183.0</v>
      </c>
      <c r="F149" s="22" t="n">
        <f>0</f>
        <v>0.0</v>
      </c>
      <c r="G149" s="21" t="n">
        <v>1.631711E8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343.0</v>
      </c>
      <c r="F150" s="22" t="n">
        <f>0</f>
        <v>0.0</v>
      </c>
      <c r="G150" s="21" t="n">
        <v>3.022635E8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526.0</v>
      </c>
      <c r="F151" s="26" t="n">
        <f>0</f>
        <v>0.0</v>
      </c>
      <c r="G151" s="25" t="n">
        <v>4.654346E8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379.0</v>
      </c>
      <c r="F152" s="18" t="n">
        <f>0</f>
        <v>0.0</v>
      </c>
      <c r="G152" s="17" t="n">
        <v>3.324106E8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175.0</v>
      </c>
      <c r="F153" s="22" t="n">
        <f>0</f>
        <v>0.0</v>
      </c>
      <c r="G153" s="21" t="n">
        <v>1.5214525E8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311.0</v>
      </c>
      <c r="F154" s="22" t="n">
        <f>0</f>
        <v>0.0</v>
      </c>
      <c r="G154" s="21" t="n">
        <v>2.67301E8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865.0</v>
      </c>
      <c r="F155" s="26" t="n">
        <f>0</f>
        <v>0.0</v>
      </c>
      <c r="G155" s="25" t="n">
        <v>7.5185685E8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19.0</v>
      </c>
      <c r="F156" s="18" t="n">
        <f>0</f>
        <v>0.0</v>
      </c>
      <c r="G156" s="17" t="n">
        <v>1.66349E7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272.0</v>
      </c>
      <c r="F157" s="22" t="n">
        <f>0</f>
        <v>0.0</v>
      </c>
      <c r="G157" s="21" t="n">
        <v>2.378944E8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307.0</v>
      </c>
      <c r="F158" s="22" t="n">
        <f>0</f>
        <v>0.0</v>
      </c>
      <c r="G158" s="21" t="n">
        <v>2.659644E8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598.0</v>
      </c>
      <c r="F159" s="26" t="n">
        <f>0</f>
        <v>0.0</v>
      </c>
      <c r="G159" s="25" t="n">
        <v>5.204937E8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64.0</v>
      </c>
      <c r="F168" s="18" t="n">
        <f>0</f>
        <v>0.0</v>
      </c>
      <c r="G168" s="17" t="n">
        <v>1.44381E8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275.0</v>
      </c>
      <c r="F169" s="22" t="n">
        <f>0</f>
        <v>0.0</v>
      </c>
      <c r="G169" s="21" t="n">
        <v>6.224005E8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330.0</v>
      </c>
      <c r="F170" s="22" t="n">
        <f>0</f>
        <v>0.0</v>
      </c>
      <c r="G170" s="21" t="n">
        <v>7.39032E8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669.0</v>
      </c>
      <c r="F171" s="26" t="n">
        <f>0</f>
        <v>0.0</v>
      </c>
      <c r="G171" s="25" t="n">
        <v>1.5058135E9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4.0</v>
      </c>
      <c r="F176" s="18" t="n">
        <f>0</f>
        <v>0.0</v>
      </c>
      <c r="G176" s="17" t="n">
        <v>7858000.0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9.0</v>
      </c>
      <c r="F177" s="22" t="n">
        <f>0</f>
        <v>0.0</v>
      </c>
      <c r="G177" s="21" t="n">
        <v>1.76235E7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51.0</v>
      </c>
      <c r="F178" s="22" t="n">
        <f>0</f>
        <v>0.0</v>
      </c>
      <c r="G178" s="21" t="n">
        <v>9.90025E7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64.0</v>
      </c>
      <c r="F179" s="26" t="n">
        <f>0</f>
        <v>0.0</v>
      </c>
      <c r="G179" s="25" t="n">
        <v>1.24484E8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274.0</v>
      </c>
      <c r="F204" s="18" t="n">
        <f>0</f>
        <v>0.0</v>
      </c>
      <c r="G204" s="17" t="n">
        <v>1.1972E9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167.0</v>
      </c>
      <c r="F205" s="22" t="n">
        <f>0</f>
        <v>0.0</v>
      </c>
      <c r="G205" s="21" t="n">
        <v>7.28253E8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1128.0</v>
      </c>
      <c r="F206" s="22" t="n">
        <f>0</f>
        <v>0.0</v>
      </c>
      <c r="G206" s="21" t="n">
        <v>4.9463765E9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1569.0</v>
      </c>
      <c r="F207" s="26" t="n">
        <f>0</f>
        <v>0.0</v>
      </c>
      <c r="G207" s="25" t="n">
        <v>6.8718295E9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10.0</v>
      </c>
      <c r="F253" s="22" t="n">
        <f>10</f>
        <v>10.0</v>
      </c>
      <c r="G253" s="21" t="n">
        <v>1.33956E8</v>
      </c>
      <c r="H253" s="22" t="n">
        <f>133956000</f>
        <v>1.33956E8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10.0</v>
      </c>
      <c r="F255" s="26" t="n">
        <f>10</f>
        <v>10.0</v>
      </c>
      <c r="G255" s="25" t="n">
        <v>1.33956E8</v>
      </c>
      <c r="H255" s="26" t="n">
        <f>133956000</f>
        <v>1.33956E8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46293.0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46293.0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3893</f>
        <v>3893.0</v>
      </c>
      <c r="E12" s="35" t="n">
        <f>2248</f>
        <v>2248.0</v>
      </c>
      <c r="F12" s="17" t="n">
        <f>2145</f>
        <v>2145.0</v>
      </c>
      <c r="G12" s="35" t="n">
        <f>1057</f>
        <v>1057.0</v>
      </c>
      <c r="H12" s="17" t="n">
        <f>6038</f>
        <v>6038.0</v>
      </c>
      <c r="I12" s="35" t="n">
        <f>3305</f>
        <v>3305.0</v>
      </c>
      <c r="J12" s="17" t="n">
        <f>2168593090</f>
        <v>2.16859309E9</v>
      </c>
      <c r="K12" s="35" t="n">
        <f>1825484090</f>
        <v>1.82548409E9</v>
      </c>
      <c r="L12" s="17" t="n">
        <f>1704128930</f>
        <v>1.70412893E9</v>
      </c>
      <c r="M12" s="35" t="n">
        <f>1441536930</f>
        <v>1.44153693E9</v>
      </c>
      <c r="N12" s="17" t="n">
        <f>3872722020</f>
        <v>3.87272202E9</v>
      </c>
      <c r="O12" s="35" t="n">
        <f>3267021020</f>
        <v>3.26702102E9</v>
      </c>
    </row>
    <row r="13" spans="1:15" ht="24.9" customHeight="1">
      <c r="A13" s="38"/>
      <c r="B13" s="62"/>
      <c r="C13" s="20" t="s">
        <v>16</v>
      </c>
      <c r="D13" s="21" t="n">
        <f>6350</f>
        <v>6350.0</v>
      </c>
      <c r="E13" s="36" t="n">
        <f>1382</f>
        <v>1382.0</v>
      </c>
      <c r="F13" s="21" t="n">
        <f>2814</f>
        <v>2814.0</v>
      </c>
      <c r="G13" s="36" t="n">
        <f>328</f>
        <v>328.0</v>
      </c>
      <c r="H13" s="21" t="n">
        <f>9164</f>
        <v>9164.0</v>
      </c>
      <c r="I13" s="36" t="n">
        <f>1710</f>
        <v>1710.0</v>
      </c>
      <c r="J13" s="21" t="n">
        <f>650251650</f>
        <v>6.5025165E8</v>
      </c>
      <c r="K13" s="36" t="n">
        <f>195109650</f>
        <v>1.9510965E8</v>
      </c>
      <c r="L13" s="21" t="n">
        <f>711930120</f>
        <v>7.1193012E8</v>
      </c>
      <c r="M13" s="36" t="n">
        <f>359695120</f>
        <v>3.5969512E8</v>
      </c>
      <c r="N13" s="21" t="n">
        <f>1362181770</f>
        <v>1.36218177E9</v>
      </c>
      <c r="O13" s="36" t="n">
        <f>554804770</f>
        <v>5.5480477E8</v>
      </c>
    </row>
    <row r="14" spans="1:15" ht="24.9" customHeight="1">
      <c r="A14" s="38"/>
      <c r="B14" s="62"/>
      <c r="C14" s="20" t="s">
        <v>17</v>
      </c>
      <c r="D14" s="21" t="n">
        <f>9357</f>
        <v>9357.0</v>
      </c>
      <c r="E14" s="36" t="n">
        <f>5493</f>
        <v>5493.0</v>
      </c>
      <c r="F14" s="21" t="n">
        <f>5207</f>
        <v>5207.0</v>
      </c>
      <c r="G14" s="36" t="n">
        <f>3447</f>
        <v>3447.0</v>
      </c>
      <c r="H14" s="21" t="n">
        <f>14564</f>
        <v>14564.0</v>
      </c>
      <c r="I14" s="36" t="n">
        <f>8940</f>
        <v>8940.0</v>
      </c>
      <c r="J14" s="21" t="n">
        <f>4774410722</f>
        <v>4.774410722E9</v>
      </c>
      <c r="K14" s="36" t="n">
        <f>4114099722</f>
        <v>4.114099722E9</v>
      </c>
      <c r="L14" s="21" t="n">
        <f>4215062900</f>
        <v>4.2150629E9</v>
      </c>
      <c r="M14" s="36" t="n">
        <f>3688894900</f>
        <v>3.6888949E9</v>
      </c>
      <c r="N14" s="21" t="n">
        <f>8989473622</f>
        <v>8.989473622E9</v>
      </c>
      <c r="O14" s="36" t="n">
        <f>7802994622</f>
        <v>7.802994622E9</v>
      </c>
    </row>
    <row r="15" spans="1:15" ht="24.9" customHeight="1">
      <c r="A15" s="38"/>
      <c r="B15" s="62"/>
      <c r="C15" s="24" t="s">
        <v>18</v>
      </c>
      <c r="D15" s="25" t="n">
        <f>19600</f>
        <v>19600.0</v>
      </c>
      <c r="E15" s="37" t="n">
        <f>9123</f>
        <v>9123.0</v>
      </c>
      <c r="F15" s="25" t="n">
        <f>10166</f>
        <v>10166.0</v>
      </c>
      <c r="G15" s="37" t="n">
        <f>4832</f>
        <v>4832.0</v>
      </c>
      <c r="H15" s="25" t="n">
        <f>29766</f>
        <v>29766.0</v>
      </c>
      <c r="I15" s="37" t="n">
        <f>13955</f>
        <v>13955.0</v>
      </c>
      <c r="J15" s="25" t="n">
        <f>7593255462</f>
        <v>7.593255462E9</v>
      </c>
      <c r="K15" s="37" t="n">
        <f>6134693462</f>
        <v>6.134693462E9</v>
      </c>
      <c r="L15" s="25" t="n">
        <f>6631121950</f>
        <v>6.63112195E9</v>
      </c>
      <c r="M15" s="37" t="n">
        <f>5490126950</f>
        <v>5.49012695E9</v>
      </c>
      <c r="N15" s="25" t="n">
        <f>14224377412</f>
        <v>1.4224377412E10</v>
      </c>
      <c r="O15" s="37" t="n">
        <f>11624820412</f>
        <v>1.1624820412E10</v>
      </c>
    </row>
    <row r="16" spans="1:15" ht="24.9" customHeight="1">
      <c r="A16" s="38"/>
      <c r="B16" s="61" t="s">
        <v>105</v>
      </c>
      <c r="C16" s="16" t="s">
        <v>15</v>
      </c>
      <c r="D16" s="17" t="n">
        <f>8449</f>
        <v>8449.0</v>
      </c>
      <c r="E16" s="35" t="n">
        <f>1100</f>
        <v>1100.0</v>
      </c>
      <c r="F16" s="17" t="n">
        <f>5881</f>
        <v>5881.0</v>
      </c>
      <c r="G16" s="35" t="n">
        <f>330</f>
        <v>330.0</v>
      </c>
      <c r="H16" s="17" t="n">
        <f>14330</f>
        <v>14330.0</v>
      </c>
      <c r="I16" s="35" t="n">
        <f>1430</f>
        <v>1430.0</v>
      </c>
      <c r="J16" s="17" t="n">
        <f>237274610</f>
        <v>2.3727461E8</v>
      </c>
      <c r="K16" s="35" t="n">
        <f>4874610</f>
        <v>4874610.0</v>
      </c>
      <c r="L16" s="17" t="n">
        <f>176827880</f>
        <v>1.7682788E8</v>
      </c>
      <c r="M16" s="35" t="n">
        <f>3361480</f>
        <v>3361480.0</v>
      </c>
      <c r="N16" s="17" t="n">
        <f>414102490</f>
        <v>4.1410249E8</v>
      </c>
      <c r="O16" s="35" t="n">
        <f>8236090</f>
        <v>8236090.0</v>
      </c>
    </row>
    <row r="17" spans="1:15" ht="24.9" customHeight="1">
      <c r="A17" s="38"/>
      <c r="B17" s="62"/>
      <c r="C17" s="20" t="s">
        <v>16</v>
      </c>
      <c r="D17" s="21" t="n">
        <f>8827</f>
        <v>8827.0</v>
      </c>
      <c r="E17" s="36" t="n">
        <f>750</f>
        <v>750.0</v>
      </c>
      <c r="F17" s="21" t="n">
        <f>5368</f>
        <v>5368.0</v>
      </c>
      <c r="G17" s="36" t="n">
        <f>190</f>
        <v>190.0</v>
      </c>
      <c r="H17" s="21" t="n">
        <f>14195</f>
        <v>14195.0</v>
      </c>
      <c r="I17" s="36" t="n">
        <f>940</f>
        <v>940.0</v>
      </c>
      <c r="J17" s="21" t="n">
        <f>161499980</f>
        <v>1.6149998E8</v>
      </c>
      <c r="K17" s="36" t="n">
        <f>3533480</f>
        <v>3533480.0</v>
      </c>
      <c r="L17" s="21" t="n">
        <f>124512020</f>
        <v>1.2451202E8</v>
      </c>
      <c r="M17" s="36" t="n">
        <f>2987120</f>
        <v>2987120.0</v>
      </c>
      <c r="N17" s="21" t="n">
        <f>286012000</f>
        <v>2.86012E8</v>
      </c>
      <c r="O17" s="36" t="n">
        <f>6520600</f>
        <v>6520600.0</v>
      </c>
    </row>
    <row r="18" spans="1:15" ht="24.9" customHeight="1">
      <c r="A18" s="38"/>
      <c r="B18" s="62"/>
      <c r="C18" s="20" t="s">
        <v>17</v>
      </c>
      <c r="D18" s="21" t="n">
        <f>4844</f>
        <v>4844.0</v>
      </c>
      <c r="E18" s="36" t="n">
        <f>340</f>
        <v>340.0</v>
      </c>
      <c r="F18" s="21" t="n">
        <f>4519</f>
        <v>4519.0</v>
      </c>
      <c r="G18" s="36" t="n">
        <f>190</f>
        <v>190.0</v>
      </c>
      <c r="H18" s="21" t="n">
        <f>9363</f>
        <v>9363.0</v>
      </c>
      <c r="I18" s="36" t="n">
        <f>530</f>
        <v>530.0</v>
      </c>
      <c r="J18" s="21" t="n">
        <f>112498620</f>
        <v>1.1249862E8</v>
      </c>
      <c r="K18" s="36" t="n">
        <f>3743920</f>
        <v>3743920.0</v>
      </c>
      <c r="L18" s="21" t="n">
        <f>90714370</f>
        <v>9.071437E7</v>
      </c>
      <c r="M18" s="36" t="n">
        <f>1776370</f>
        <v>1776370.0</v>
      </c>
      <c r="N18" s="21" t="n">
        <f>203212990</f>
        <v>2.0321299E8</v>
      </c>
      <c r="O18" s="36" t="n">
        <f>5520290</f>
        <v>5520290.0</v>
      </c>
    </row>
    <row r="19" spans="1:15" ht="24.9" customHeight="1">
      <c r="A19" s="38"/>
      <c r="B19" s="62"/>
      <c r="C19" s="24" t="s">
        <v>18</v>
      </c>
      <c r="D19" s="25" t="n">
        <f>22120</f>
        <v>22120.0</v>
      </c>
      <c r="E19" s="37" t="n">
        <f>2190</f>
        <v>2190.0</v>
      </c>
      <c r="F19" s="25" t="n">
        <f>15768</f>
        <v>15768.0</v>
      </c>
      <c r="G19" s="37" t="n">
        <f>710</f>
        <v>710.0</v>
      </c>
      <c r="H19" s="25" t="n">
        <f>37888</f>
        <v>37888.0</v>
      </c>
      <c r="I19" s="37" t="n">
        <f>2900</f>
        <v>2900.0</v>
      </c>
      <c r="J19" s="25" t="n">
        <f>511273210</f>
        <v>5.1127321E8</v>
      </c>
      <c r="K19" s="37" t="n">
        <f>12152010</f>
        <v>1.215201E7</v>
      </c>
      <c r="L19" s="25" t="n">
        <f>392054270</f>
        <v>3.9205427E8</v>
      </c>
      <c r="M19" s="37" t="n">
        <f>8124970</f>
        <v>8124970.0</v>
      </c>
      <c r="N19" s="25" t="n">
        <f>903327480</f>
        <v>9.0332748E8</v>
      </c>
      <c r="O19" s="37" t="n">
        <f>20276980</f>
        <v>2.027698E7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19</f>
        <v>19.0</v>
      </c>
      <c r="E21" s="36" t="n">
        <f>19</f>
        <v>19.0</v>
      </c>
      <c r="F21" s="21" t="n">
        <f>25</f>
        <v>25.0</v>
      </c>
      <c r="G21" s="36" t="n">
        <f>0</f>
        <v>0.0</v>
      </c>
      <c r="H21" s="21" t="n">
        <f>44</f>
        <v>44.0</v>
      </c>
      <c r="I21" s="36" t="n">
        <f>19</f>
        <v>19.0</v>
      </c>
      <c r="J21" s="21" t="n">
        <f>7491150</f>
        <v>7491150.0</v>
      </c>
      <c r="K21" s="36" t="n">
        <f>7491150</f>
        <v>7491150.0</v>
      </c>
      <c r="L21" s="21" t="n">
        <f>16375000</f>
        <v>1.6375E7</v>
      </c>
      <c r="M21" s="36" t="n">
        <f>0</f>
        <v>0.0</v>
      </c>
      <c r="N21" s="21" t="n">
        <f>23866150</f>
        <v>2.386615E7</v>
      </c>
      <c r="O21" s="36" t="n">
        <f>7491150</f>
        <v>7491150.0</v>
      </c>
    </row>
    <row r="22" spans="1:15" ht="24.9" customHeight="1">
      <c r="A22" s="38"/>
      <c r="B22" s="62"/>
      <c r="C22" s="20" t="s">
        <v>17</v>
      </c>
      <c r="D22" s="21" t="n">
        <f>1085</f>
        <v>1085.0</v>
      </c>
      <c r="E22" s="36" t="n">
        <f>1060</f>
        <v>1060.0</v>
      </c>
      <c r="F22" s="21" t="n">
        <f>60</f>
        <v>60.0</v>
      </c>
      <c r="G22" s="36" t="n">
        <f>60</f>
        <v>60.0</v>
      </c>
      <c r="H22" s="21" t="n">
        <f>1145</f>
        <v>1145.0</v>
      </c>
      <c r="I22" s="36" t="n">
        <f>1120</f>
        <v>1120.0</v>
      </c>
      <c r="J22" s="21" t="n">
        <f>649995000</f>
        <v>6.49995E8</v>
      </c>
      <c r="K22" s="36" t="n">
        <f>638120000</f>
        <v>6.3812E8</v>
      </c>
      <c r="L22" s="21" t="n">
        <f>53880000</f>
        <v>5.388E7</v>
      </c>
      <c r="M22" s="36" t="n">
        <f>53880000</f>
        <v>5.388E7</v>
      </c>
      <c r="N22" s="21" t="n">
        <f>703875000</f>
        <v>7.03875E8</v>
      </c>
      <c r="O22" s="36" t="n">
        <f>692000000</f>
        <v>6.92E8</v>
      </c>
    </row>
    <row r="23" spans="1:15" ht="24.9" customHeight="1">
      <c r="A23" s="38"/>
      <c r="B23" s="62"/>
      <c r="C23" s="24" t="s">
        <v>18</v>
      </c>
      <c r="D23" s="25" t="n">
        <f>1104</f>
        <v>1104.0</v>
      </c>
      <c r="E23" s="37" t="n">
        <f>1079</f>
        <v>1079.0</v>
      </c>
      <c r="F23" s="25" t="n">
        <f>85</f>
        <v>85.0</v>
      </c>
      <c r="G23" s="37" t="n">
        <f>60</f>
        <v>60.0</v>
      </c>
      <c r="H23" s="25" t="n">
        <f>1189</f>
        <v>1189.0</v>
      </c>
      <c r="I23" s="37" t="n">
        <f>1139</f>
        <v>1139.0</v>
      </c>
      <c r="J23" s="25" t="n">
        <f>657486150</f>
        <v>6.5748615E8</v>
      </c>
      <c r="K23" s="37" t="n">
        <f>645611150</f>
        <v>6.4561115E8</v>
      </c>
      <c r="L23" s="25" t="n">
        <f>70255000</f>
        <v>7.0255E7</v>
      </c>
      <c r="M23" s="37" t="n">
        <f>53880000</f>
        <v>5.388E7</v>
      </c>
      <c r="N23" s="25" t="n">
        <f>727741150</f>
        <v>7.2774115E8</v>
      </c>
      <c r="O23" s="37" t="n">
        <f>699491150</f>
        <v>6.9949115E8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18</f>
        <v>18.0</v>
      </c>
      <c r="G36" s="18" t="n">
        <f>0</f>
        <v>0.0</v>
      </c>
      <c r="H36" s="17" t="n">
        <f>18</f>
        <v>18.0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420000</f>
        <v>420000.0</v>
      </c>
      <c r="M36" s="18" t="n">
        <f>0</f>
        <v>0.0</v>
      </c>
      <c r="N36" s="17" t="n">
        <f>420000</f>
        <v>420000.0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0</f>
        <v>0.0</v>
      </c>
      <c r="E37" s="22" t="n">
        <f>0</f>
        <v>0.0</v>
      </c>
      <c r="F37" s="21" t="n">
        <f>36</f>
        <v>36.0</v>
      </c>
      <c r="G37" s="22" t="n">
        <f>0</f>
        <v>0.0</v>
      </c>
      <c r="H37" s="21" t="n">
        <f>36</f>
        <v>36.0</v>
      </c>
      <c r="I37" s="22" t="n">
        <f>0</f>
        <v>0.0</v>
      </c>
      <c r="J37" s="21" t="n">
        <f>0</f>
        <v>0.0</v>
      </c>
      <c r="K37" s="22" t="n">
        <f>0</f>
        <v>0.0</v>
      </c>
      <c r="L37" s="21" t="n">
        <f>3740000</f>
        <v>3740000.0</v>
      </c>
      <c r="M37" s="22" t="n">
        <f>0</f>
        <v>0.0</v>
      </c>
      <c r="N37" s="21" t="n">
        <f>3740000</f>
        <v>3740000.0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26</f>
        <v>26.0</v>
      </c>
      <c r="E38" s="36" t="n">
        <f>0</f>
        <v>0.0</v>
      </c>
      <c r="F38" s="21" t="n">
        <f>10</f>
        <v>10.0</v>
      </c>
      <c r="G38" s="36" t="n">
        <f>0</f>
        <v>0.0</v>
      </c>
      <c r="H38" s="21" t="n">
        <f>36</f>
        <v>36.0</v>
      </c>
      <c r="I38" s="36" t="n">
        <f>0</f>
        <v>0.0</v>
      </c>
      <c r="J38" s="21" t="n">
        <f>8160000</f>
        <v>8160000.0</v>
      </c>
      <c r="K38" s="36" t="n">
        <f>0</f>
        <v>0.0</v>
      </c>
      <c r="L38" s="21" t="n">
        <f>1700000</f>
        <v>1700000.0</v>
      </c>
      <c r="M38" s="36" t="n">
        <f>0</f>
        <v>0.0</v>
      </c>
      <c r="N38" s="21" t="n">
        <f>9860000</f>
        <v>9860000.0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26</f>
        <v>26.0</v>
      </c>
      <c r="E39" s="37" t="n">
        <f>0</f>
        <v>0.0</v>
      </c>
      <c r="F39" s="25" t="n">
        <f>64</f>
        <v>64.0</v>
      </c>
      <c r="G39" s="37" t="n">
        <f>0</f>
        <v>0.0</v>
      </c>
      <c r="H39" s="25" t="n">
        <f>90</f>
        <v>90.0</v>
      </c>
      <c r="I39" s="37" t="n">
        <f>0</f>
        <v>0.0</v>
      </c>
      <c r="J39" s="25" t="n">
        <f>8160000</f>
        <v>8160000.0</v>
      </c>
      <c r="K39" s="37" t="n">
        <f>0</f>
        <v>0.0</v>
      </c>
      <c r="L39" s="25" t="n">
        <f>5860000</f>
        <v>5860000.0</v>
      </c>
      <c r="M39" s="37" t="n">
        <f>0</f>
        <v>0.0</v>
      </c>
      <c r="N39" s="25" t="n">
        <f>14020000</f>
        <v>1.402E7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2216</f>
        <v>2216.0</v>
      </c>
      <c r="E41" s="36" t="n">
        <f>0</f>
        <v>0.0</v>
      </c>
      <c r="F41" s="21" t="n">
        <f>2050</f>
        <v>2050.0</v>
      </c>
      <c r="G41" s="36" t="n">
        <f>0</f>
        <v>0.0</v>
      </c>
      <c r="H41" s="21" t="n">
        <f>4266</f>
        <v>4266.0</v>
      </c>
      <c r="I41" s="36" t="n">
        <f>0</f>
        <v>0.0</v>
      </c>
      <c r="J41" s="21" t="n">
        <f>10666563</f>
        <v>1.0666563E7</v>
      </c>
      <c r="K41" s="36" t="n">
        <f>0</f>
        <v>0.0</v>
      </c>
      <c r="L41" s="21" t="n">
        <f>5383694</f>
        <v>5383694.0</v>
      </c>
      <c r="M41" s="36" t="n">
        <f>0</f>
        <v>0.0</v>
      </c>
      <c r="N41" s="21" t="n">
        <f>16050257</f>
        <v>1.6050257E7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708</f>
        <v>708.0</v>
      </c>
      <c r="E42" s="36" t="n">
        <f>0</f>
        <v>0.0</v>
      </c>
      <c r="F42" s="21" t="n">
        <f>2273</f>
        <v>2273.0</v>
      </c>
      <c r="G42" s="36" t="n">
        <f>0</f>
        <v>0.0</v>
      </c>
      <c r="H42" s="21" t="n">
        <f>2981</f>
        <v>2981.0</v>
      </c>
      <c r="I42" s="36" t="n">
        <f>0</f>
        <v>0.0</v>
      </c>
      <c r="J42" s="21" t="n">
        <f>37212807</f>
        <v>3.7212807E7</v>
      </c>
      <c r="K42" s="36" t="n">
        <f>0</f>
        <v>0.0</v>
      </c>
      <c r="L42" s="21" t="n">
        <f>17757920</f>
        <v>1.775792E7</v>
      </c>
      <c r="M42" s="36" t="n">
        <f>0</f>
        <v>0.0</v>
      </c>
      <c r="N42" s="21" t="n">
        <f>54970727</f>
        <v>5.4970727E7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2924</f>
        <v>2924.0</v>
      </c>
      <c r="E43" s="37" t="n">
        <f>0</f>
        <v>0.0</v>
      </c>
      <c r="F43" s="25" t="n">
        <f>4323</f>
        <v>4323.0</v>
      </c>
      <c r="G43" s="37" t="n">
        <f>0</f>
        <v>0.0</v>
      </c>
      <c r="H43" s="25" t="n">
        <f>7247</f>
        <v>7247.0</v>
      </c>
      <c r="I43" s="37" t="n">
        <f>0</f>
        <v>0.0</v>
      </c>
      <c r="J43" s="25" t="n">
        <f>47879370</f>
        <v>4.787937E7</v>
      </c>
      <c r="K43" s="37" t="n">
        <f>0</f>
        <v>0.0</v>
      </c>
      <c r="L43" s="25" t="n">
        <f>23141614</f>
        <v>2.3141614E7</v>
      </c>
      <c r="M43" s="37" t="n">
        <f>0</f>
        <v>0.0</v>
      </c>
      <c r="N43" s="25" t="n">
        <f>71020984</f>
        <v>7.1020984E7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