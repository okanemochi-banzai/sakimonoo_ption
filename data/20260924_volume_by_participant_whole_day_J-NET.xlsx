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<sst xmlns="http://schemas.openxmlformats.org/spreadsheetml/2006/main" count="394" uniqueCount="97">
  <si>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</si>
  <si>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</si>
  <si>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</si>
  <si>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</si>
  <si>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</si>
  <si>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</si>
  <si>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</si>
  <si>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</si>
  <si>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</si>
  <si>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20260924</t>
  </si>
  <si>
    <t>NK225F</t>
  </si>
  <si>
    <t>161120018</t>
  </si>
  <si>
    <t>NIKKEI 225 FUT 2612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</si>
  <si>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</si>
  <si>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</si>
  <si>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</si>
  <si>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</si>
  <si>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</si>
  <si>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</si>
  <si>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</si>
  <si>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</si>
  <si>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</si>
  <si>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</si>
  <si>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</si>
  <si>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</si>
  <si>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</si>
  <si>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</si>
  <si>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</si>
  <si>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</si>
  <si>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</si>
  <si>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</si>
  <si>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</si>
  <si>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</si>
  <si>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</si>
  <si>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</si>
  <si>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</si>
  <si>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</si>
  <si>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</si>
  <si>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</si>
  <si>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</si>
  <si>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</si>
  <si>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</si>
  <si>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</si>
  <si>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</si>
  <si>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</si>
  <si>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</si>
  <si>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</si>
  <si>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</si>
  <si>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</si>
  <si>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</si>
  <si>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</si>
  <si>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</si>
  <si>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</si>
  <si>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</si>
  <si>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</si>
  <si>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</si>
  <si>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</si>
  <si>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</si>
  <si>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</si>
  <si>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</si>
  <si>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</si>
  <si>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</si>
  <si>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</si>
  <si>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</si>
  <si>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</si>
  <si>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</si>
  <si>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</si>
  <si>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</si>
  <si>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</si>
  <si>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</si>
  <si>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</si>
  <si>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</si>
  <si>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</si>
  <si>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</si>
  <si>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</si>
  <si>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</si>
  <si>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</si>
  <si>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</si>
  <si>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</si>
  <si>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</si>
  <si>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</si>
  <si>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</si>
  <si>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</si>
  <si>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</si>
  <si>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</si>
  <si>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</si>
  <si>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</si>
  <si>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</si>
  <si>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NK225E</t>
  </si>
  <si>
    <t>181225018</t>
  </si>
  <si>
    <t>NIKKEI 225 OOP P2610-65000</t>
  </si>
  <si>
    <t>131225518</t>
  </si>
  <si>
    <t>NIKKEI 225 OOP P2610-65500</t>
  </si>
  <si>
    <t>141226518</t>
  </si>
  <si>
    <t>NIKKEI 225 OOP C2610-66500</t>
  </si>
  <si>
    <t>141346018</t>
  </si>
  <si>
    <t>NIKKEI 225 OOP C2610-66000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</si>
</sst>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1107.0</f>
        <v>1107.0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977.0</f>
        <v>977.0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916.0</f>
        <v>916.0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708.0</f>
        <v>708.0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565.0</f>
        <v>565.0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533.0</f>
        <v>533.0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396.0</f>
        <v>396.0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368.0</f>
        <v>368.0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355.0</f>
        <v>355.0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292.0</f>
        <v>292.0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262.0</f>
        <v>262.0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169.0</f>
        <v>169.0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161.0</f>
        <v>161.0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160.0</f>
        <v>160.0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144.0</f>
        <v>144.0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134.0</f>
        <v>134.0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112.0</f>
        <v>112.0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14.0</f>
        <v>14.0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50.0</f>
        <v>50.0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43</v>
      </c>
      <c r="F33" s="4" t="s">
        <v>44</v>
      </c>
      <c r="G33" s="4" t="s">
        <v>45</v>
      </c>
      <c r="H33" s="5" t="n">
        <f>2590.0</f>
        <v>2590.0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25</v>
      </c>
      <c r="F34" s="4" t="s">
        <v>26</v>
      </c>
      <c r="G34" s="4" t="s">
        <v>27</v>
      </c>
      <c r="H34" s="5" t="n">
        <f>2000.0</f>
        <v>2000.0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224.0</f>
        <v>224.0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58</v>
      </c>
      <c r="F36" s="4" t="s">
        <v>59</v>
      </c>
      <c r="G36" s="4" t="s">
        <v>60</v>
      </c>
      <c r="H36" s="5" t="n">
        <f>82.0</f>
        <v>82.0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52</v>
      </c>
      <c r="F37" s="4" t="s">
        <v>53</v>
      </c>
      <c r="G37" s="4" t="s">
        <v>54</v>
      </c>
      <c r="H37" s="5" t="n">
        <f>82.0</f>
        <v>82.0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58</v>
      </c>
      <c r="F38" s="4" t="s">
        <v>59</v>
      </c>
      <c r="G38" s="4" t="s">
        <v>60</v>
      </c>
      <c r="H38" s="5" t="n">
        <f>26.0</f>
        <v>26.0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52</v>
      </c>
      <c r="F39" s="4" t="s">
        <v>53</v>
      </c>
      <c r="G39" s="4" t="s">
        <v>54</v>
      </c>
      <c r="H39" s="5" t="n">
        <f>26.0</f>
        <v>26.0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64</v>
      </c>
      <c r="F40" s="4" t="s">
        <v>65</v>
      </c>
      <c r="G40" s="4" t="s">
        <v>66</v>
      </c>
      <c r="H40" s="5" t="n">
        <f>20.0</f>
        <v>20.0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25</v>
      </c>
      <c r="F41" s="4" t="s">
        <v>26</v>
      </c>
      <c r="G41" s="4" t="s">
        <v>27</v>
      </c>
      <c r="H41" s="5" t="n">
        <f>20.0</f>
        <v>20.0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25</v>
      </c>
      <c r="F42" s="4" t="s">
        <v>26</v>
      </c>
      <c r="G42" s="4" t="s">
        <v>27</v>
      </c>
      <c r="H42" s="5" t="n">
        <f>26800.0</f>
        <v>26800.0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43</v>
      </c>
      <c r="F43" s="4" t="s">
        <v>44</v>
      </c>
      <c r="G43" s="4" t="s">
        <v>45</v>
      </c>
      <c r="H43" s="5" t="n">
        <f>18044.0</f>
        <v>18044.0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64</v>
      </c>
      <c r="F44" s="4" t="s">
        <v>65</v>
      </c>
      <c r="G44" s="4" t="s">
        <v>66</v>
      </c>
      <c r="H44" s="5" t="n">
        <f>3380.0</f>
        <v>3380.0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58</v>
      </c>
      <c r="F45" s="4" t="s">
        <v>59</v>
      </c>
      <c r="G45" s="4" t="s">
        <v>60</v>
      </c>
      <c r="H45" s="5" t="n">
        <f>2564.0</f>
        <v>2564.0</v>
      </c>
    </row>
    <row r="46">
      <c r="A46" s="3" t="s">
        <v>75</v>
      </c>
      <c r="B46" s="4" t="s">
        <v>80</v>
      </c>
      <c r="C46" s="4" t="s">
        <v>81</v>
      </c>
      <c r="D46" s="3" t="n">
        <v>4.0</v>
      </c>
      <c r="E46" s="4" t="s">
        <v>52</v>
      </c>
      <c r="F46" s="4" t="s">
        <v>53</v>
      </c>
      <c r="G46" s="4" t="s">
        <v>54</v>
      </c>
      <c r="H46" s="5" t="n">
        <f>2564.0</f>
        <v>2564.0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46</v>
      </c>
      <c r="F47" s="4" t="s">
        <v>47</v>
      </c>
      <c r="G47" s="4" t="s">
        <v>48</v>
      </c>
      <c r="H47" s="5" t="n">
        <f>390.0</f>
        <v>390.0</v>
      </c>
    </row>
    <row r="48">
      <c r="A48" s="3" t="s">
        <v>75</v>
      </c>
      <c r="B48" s="4" t="s">
        <v>80</v>
      </c>
      <c r="C48" s="4" t="s">
        <v>81</v>
      </c>
      <c r="D48" s="3" t="n">
        <v>7.0</v>
      </c>
      <c r="E48" s="4" t="s">
        <v>13</v>
      </c>
      <c r="F48" s="4" t="s">
        <v>14</v>
      </c>
      <c r="G48" s="4" t="s">
        <v>15</v>
      </c>
      <c r="H48" s="5" t="n">
        <f>30.0</f>
        <v>30.0</v>
      </c>
    </row>
    <row r="49">
      <c r="A49" s="3" t="s">
        <v>75</v>
      </c>
      <c r="B49" s="4" t="s">
        <v>80</v>
      </c>
      <c r="C49" s="4" t="s">
        <v>81</v>
      </c>
      <c r="D49" s="3" t="n">
        <v>8.0</v>
      </c>
      <c r="E49" s="4" t="s">
        <v>49</v>
      </c>
      <c r="F49" s="4" t="s">
        <v>50</v>
      </c>
      <c r="G49" s="4" t="s">
        <v>51</v>
      </c>
      <c r="H49" s="5" t="n">
        <f>16.0</f>
        <v>16.0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46</v>
      </c>
      <c r="F50" s="4" t="s">
        <v>47</v>
      </c>
      <c r="G50" s="4" t="s">
        <v>48</v>
      </c>
      <c r="H50" s="5" t="n">
        <f>4988.0</f>
        <v>4988.0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85</v>
      </c>
      <c r="F51" s="4" t="s">
        <v>86</v>
      </c>
      <c r="G51" s="4" t="s">
        <v>87</v>
      </c>
      <c r="H51" s="5" t="n">
        <f>1679.0</f>
        <v>1679.0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31</v>
      </c>
      <c r="F52" s="4" t="s">
        <v>32</v>
      </c>
      <c r="G52" s="4" t="s">
        <v>33</v>
      </c>
      <c r="H52" s="5" t="n">
        <f>1532.0</f>
        <v>1532.0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13</v>
      </c>
      <c r="F53" s="4" t="s">
        <v>14</v>
      </c>
      <c r="G53" s="4" t="s">
        <v>15</v>
      </c>
      <c r="H53" s="5" t="n">
        <f>1359.0</f>
        <v>1359.0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19</v>
      </c>
      <c r="F54" s="4" t="s">
        <v>20</v>
      </c>
      <c r="G54" s="4" t="s">
        <v>21</v>
      </c>
      <c r="H54" s="5" t="n">
        <f>1317.0</f>
        <v>1317.0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49</v>
      </c>
      <c r="F55" s="4" t="s">
        <v>50</v>
      </c>
      <c r="G55" s="4" t="s">
        <v>51</v>
      </c>
      <c r="H55" s="5" t="n">
        <f>1054.0</f>
        <v>1054.0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34</v>
      </c>
      <c r="F56" s="4" t="s">
        <v>35</v>
      </c>
      <c r="G56" s="4" t="s">
        <v>36</v>
      </c>
      <c r="H56" s="5" t="n">
        <f>489.0</f>
        <v>489.0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40</v>
      </c>
      <c r="F57" s="4" t="s">
        <v>41</v>
      </c>
      <c r="G57" s="4" t="s">
        <v>42</v>
      </c>
      <c r="H57" s="5" t="n">
        <f>433.0</f>
        <v>433.0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37</v>
      </c>
      <c r="F58" s="4" t="s">
        <v>38</v>
      </c>
      <c r="G58" s="4" t="s">
        <v>39</v>
      </c>
      <c r="H58" s="5" t="n">
        <f>391.0</f>
        <v>391.0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16</v>
      </c>
      <c r="F59" s="4" t="s">
        <v>17</v>
      </c>
      <c r="G59" s="4" t="s">
        <v>18</v>
      </c>
      <c r="H59" s="5" t="n">
        <f>350.0</f>
        <v>350.0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55</v>
      </c>
      <c r="F60" s="4" t="s">
        <v>56</v>
      </c>
      <c r="G60" s="4" t="s">
        <v>57</v>
      </c>
      <c r="H60" s="5" t="n">
        <f>308.0</f>
        <v>308.0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28</v>
      </c>
      <c r="F61" s="4" t="s">
        <v>29</v>
      </c>
      <c r="G61" s="4" t="s">
        <v>30</v>
      </c>
      <c r="H61" s="5" t="n">
        <f>277.0</f>
        <v>277.0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22</v>
      </c>
      <c r="F62" s="4" t="s">
        <v>23</v>
      </c>
      <c r="G62" s="4" t="s">
        <v>24</v>
      </c>
      <c r="H62" s="5" t="n">
        <f>184.0</f>
        <v>184.0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52</v>
      </c>
      <c r="F63" s="4" t="s">
        <v>53</v>
      </c>
      <c r="G63" s="4" t="s">
        <v>54</v>
      </c>
      <c r="H63" s="5" t="n">
        <f>92.0</f>
        <v>92.0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25</v>
      </c>
      <c r="F64" s="4" t="s">
        <v>26</v>
      </c>
      <c r="G64" s="4" t="s">
        <v>27</v>
      </c>
      <c r="H64" s="5" t="n">
        <f>64.0</f>
        <v>64.0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61</v>
      </c>
      <c r="F65" s="4" t="s">
        <v>62</v>
      </c>
      <c r="G65" s="4" t="s">
        <v>63</v>
      </c>
      <c r="H65" s="5" t="n">
        <f>16.0</f>
        <v>16.0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64</v>
      </c>
      <c r="F66" s="4" t="s">
        <v>65</v>
      </c>
      <c r="G66" s="4" t="s">
        <v>66</v>
      </c>
      <c r="H66" s="5" t="n">
        <f>6.0</f>
        <v>6.0</v>
      </c>
    </row>
    <row r="67">
      <c r="A67" s="3" t="s">
        <v>82</v>
      </c>
      <c r="B67" s="4" t="s">
        <v>83</v>
      </c>
      <c r="C67" s="4" t="s">
        <v>84</v>
      </c>
      <c r="D67" s="3" t="n">
        <v>18.0</v>
      </c>
      <c r="E67" s="4" t="s">
        <v>58</v>
      </c>
      <c r="F67" s="4" t="s">
        <v>59</v>
      </c>
      <c r="G67" s="4" t="s">
        <v>60</v>
      </c>
      <c r="H67" s="5" t="n">
        <f>1.0</f>
        <v>1.0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12.0</f>
        <v>12.0</v>
      </c>
    </row>
    <row r="69">
      <c r="A69" s="3" t="s">
        <v>88</v>
      </c>
      <c r="B69" s="4" t="s">
        <v>91</v>
      </c>
      <c r="C69" s="4" t="s">
        <v>92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4.0</f>
        <v>4.0</v>
      </c>
    </row>
    <row r="70">
      <c r="A70" s="3" t="s">
        <v>88</v>
      </c>
      <c r="B70" s="4" t="s">
        <v>93</v>
      </c>
      <c r="C70" s="4" t="s">
        <v>94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4.0</f>
        <v>4.0</v>
      </c>
    </row>
    <row r="71">
      <c r="A71" s="3" t="s">
        <v>88</v>
      </c>
      <c r="B71" s="4" t="s">
        <v>95</v>
      </c>
      <c r="C71" s="4" t="s">
        <v>96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12.0</f>
        <v>12.0</v>
      </c>
    </row>
    <row r="72">
      <c r="A72" s="3" t="s">
        <v>88</v>
      </c>
      <c r="B72" s="4" t="s">
        <v>95</v>
      </c>
      <c r="C72" s="4" t="s">
        <v>96</v>
      </c>
      <c r="D72" s="3" t="n">
        <v>2.0</v>
      </c>
      <c r="E72" s="4" t="s">
        <v>43</v>
      </c>
      <c r="F72" s="4" t="s">
        <v>44</v>
      </c>
      <c r="G72" s="4" t="s">
        <v>45</v>
      </c>
      <c r="H72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