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<sst xmlns="http://schemas.openxmlformats.org/spreadsheetml/2006/main" count="528" uniqueCount="129">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</sst>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DATE(2026,04,15)</f>
        <v>46127.0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DATE(2026,04,15)</f>
        <v>46127.0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584576.0</f>
        <v>584576.0</v>
      </c>
      <c r="E12" s="18" t="n">
        <f>32764.0</f>
        <v>32764.0</v>
      </c>
      <c r="F12" s="19" t="n">
        <f>1.0</f>
        <v>1.0</v>
      </c>
      <c r="G12" s="17" t="n">
        <f>3861198374360.0</f>
        <v>3.86119837436E12</v>
      </c>
      <c r="H12" s="18" t="n">
        <f>300867392010.0</f>
        <v>3.0086739201E11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313839.0</f>
        <v>313839.0</v>
      </c>
      <c r="E13" s="22" t="n">
        <f>15595.0</f>
        <v>15595.0</v>
      </c>
      <c r="F13" s="23" t="n">
        <f>1.0</f>
        <v>1.0</v>
      </c>
      <c r="G13" s="21" t="n">
        <f>3592709508920.0</f>
        <v>3.59270950892E12</v>
      </c>
      <c r="H13" s="22" t="n">
        <f>240311406070.0</f>
        <v>2.4031140607E11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452240.0</f>
        <v>452240.0</v>
      </c>
      <c r="E14" s="22" t="n">
        <f>32229.0</f>
        <v>32229.0</v>
      </c>
      <c r="F14" s="23" t="n">
        <f>1.0</f>
        <v>1.0</v>
      </c>
      <c r="G14" s="21" t="n">
        <f>5343901771806.0</f>
        <v>5.343901771806E12</v>
      </c>
      <c r="H14" s="22" t="n">
        <f>791074128381.0</f>
        <v>7.91074128381E11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1350655.0</f>
        <v>1350655.0</v>
      </c>
      <c r="E15" s="26" t="n">
        <f>80588.0</f>
        <v>80588.0</v>
      </c>
      <c r="F15" s="27" t="n">
        <f>1.0</f>
        <v>1.0</v>
      </c>
      <c r="G15" s="25" t="n">
        <f>12797809655086.0</f>
        <v>1.2797809655086E13</v>
      </c>
      <c r="H15" s="26" t="n">
        <f>1332252926461.0</f>
        <v>1.332252926461E12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10065.0</f>
        <v>10065.0</v>
      </c>
      <c r="E16" s="18" t="n">
        <f>1.0</f>
        <v>1.0</v>
      </c>
      <c r="F16" s="19" t="n">
        <f>0.017</f>
        <v>0.017</v>
      </c>
      <c r="G16" s="17" t="n">
        <f>1178213682500.0</f>
        <v>1.1782136825E12</v>
      </c>
      <c r="H16" s="18" t="n">
        <f>129890000.0</f>
        <v>1.2989E8</v>
      </c>
      <c r="I16" s="19" t="n">
        <f>0.305</f>
        <v>0.305</v>
      </c>
    </row>
    <row r="17" spans="1:9" ht="24.9" customHeight="1">
      <c r="A17" s="41"/>
      <c r="B17" s="39"/>
      <c r="C17" s="20" t="s">
        <v>16</v>
      </c>
      <c r="D17" s="21" t="n">
        <f>17080.0</f>
        <v>17080.0</v>
      </c>
      <c r="E17" s="22" t="n">
        <f>1012.0</f>
        <v>1012.0</v>
      </c>
      <c r="F17" s="23" t="n">
        <f>0.054</f>
        <v>0.054</v>
      </c>
      <c r="G17" s="21" t="n">
        <f>1776135641500.0</f>
        <v>1.7761356415E12</v>
      </c>
      <c r="H17" s="22" t="n">
        <f>131511125000.0</f>
        <v>1.31511125E11</v>
      </c>
      <c r="I17" s="23" t="n">
        <f>0.494</f>
        <v>0.494</v>
      </c>
    </row>
    <row r="18" spans="1:9" ht="24.9" customHeight="1">
      <c r="A18" s="41"/>
      <c r="B18" s="39"/>
      <c r="C18" s="20" t="s">
        <v>17</v>
      </c>
      <c r="D18" s="21" t="n">
        <f>16803.0</f>
        <v>16803.0</v>
      </c>
      <c r="E18" s="22" t="n">
        <f>1314.0</f>
        <v>1314.0</v>
      </c>
      <c r="F18" s="23" t="n">
        <f>0.037</f>
        <v>0.037</v>
      </c>
      <c r="G18" s="21" t="n">
        <f>2096510313125.0</f>
        <v>2.096510313125E12</v>
      </c>
      <c r="H18" s="22" t="n">
        <f>170909345000.0</f>
        <v>1.70909345E11</v>
      </c>
      <c r="I18" s="23" t="n">
        <f>0.392</f>
        <v>0.392</v>
      </c>
    </row>
    <row r="19" spans="1:9" ht="24.9" customHeight="1">
      <c r="A19" s="41"/>
      <c r="B19" s="39"/>
      <c r="C19" s="24" t="s">
        <v>18</v>
      </c>
      <c r="D19" s="25" t="n">
        <f>43948.0</f>
        <v>43948.0</v>
      </c>
      <c r="E19" s="26" t="n">
        <f>2327.0</f>
        <v>2327.0</v>
      </c>
      <c r="F19" s="27" t="n">
        <f>0.033</f>
        <v>0.033</v>
      </c>
      <c r="G19" s="25" t="n">
        <f>5050859637125.0</f>
        <v>5.050859637125E12</v>
      </c>
      <c r="H19" s="26" t="n">
        <f>302550360000.0</f>
        <v>3.0255036E11</v>
      </c>
      <c r="I19" s="27" t="n">
        <f>0.395</f>
        <v>0.395</v>
      </c>
    </row>
    <row r="20" spans="1:9" ht="24.9" customHeight="1">
      <c r="A20" s="41"/>
      <c r="B20" s="39" t="s">
        <v>21</v>
      </c>
      <c r="C20" s="16" t="s">
        <v>15</v>
      </c>
      <c r="D20" s="17" t="n">
        <f>560156.0</f>
        <v>560156.0</v>
      </c>
      <c r="E20" s="18" t="n">
        <f>32751.0</f>
        <v>32751.0</v>
      </c>
      <c r="F20" s="19" t="n">
        <f>0.958</f>
        <v>0.958</v>
      </c>
      <c r="G20" s="17" t="n">
        <f>2517605117030.0</f>
        <v>2.51760511703E12</v>
      </c>
      <c r="H20" s="18" t="n">
        <f>300731145130.0</f>
        <v>3.0073114513E11</v>
      </c>
      <c r="I20" s="19" t="n">
        <f>0.652</f>
        <v>0.652</v>
      </c>
    </row>
    <row r="21" spans="1:9" ht="24.9" customHeight="1">
      <c r="A21" s="41"/>
      <c r="B21" s="39"/>
      <c r="C21" s="20" t="s">
        <v>16</v>
      </c>
      <c r="D21" s="21" t="n">
        <f>286865.0</f>
        <v>286865.0</v>
      </c>
      <c r="E21" s="22" t="n">
        <f>14583.0</f>
        <v>14583.0</v>
      </c>
      <c r="F21" s="23" t="n">
        <f>0.914</f>
        <v>0.914</v>
      </c>
      <c r="G21" s="21" t="n">
        <f>1692947615720.0</f>
        <v>1.69294761572E12</v>
      </c>
      <c r="H21" s="22" t="n">
        <f>108800281070.0</f>
        <v>1.0880028107E11</v>
      </c>
      <c r="I21" s="23" t="n">
        <f>0.471</f>
        <v>0.471</v>
      </c>
    </row>
    <row r="22" spans="1:9" ht="24.9" customHeight="1">
      <c r="A22" s="41"/>
      <c r="B22" s="39"/>
      <c r="C22" s="20" t="s">
        <v>17</v>
      </c>
      <c r="D22" s="21" t="n">
        <f>426021.0</f>
        <v>426021.0</v>
      </c>
      <c r="E22" s="22" t="n">
        <f>30915.0</f>
        <v>30915.0</v>
      </c>
      <c r="F22" s="23" t="n">
        <f>0.942</f>
        <v>0.942</v>
      </c>
      <c r="G22" s="21" t="n">
        <f>3162677202931.0</f>
        <v>3.162677202931E12</v>
      </c>
      <c r="H22" s="22" t="n">
        <f>620164783381.0</f>
        <v>6.20164783381E11</v>
      </c>
      <c r="I22" s="23" t="n">
        <f>0.592</f>
        <v>0.592</v>
      </c>
    </row>
    <row r="23" spans="1:9" ht="24.9" customHeight="1">
      <c r="A23" s="41"/>
      <c r="B23" s="39"/>
      <c r="C23" s="24" t="s">
        <v>18</v>
      </c>
      <c r="D23" s="25" t="n">
        <f>1273042.0</f>
        <v>1273042.0</v>
      </c>
      <c r="E23" s="26" t="n">
        <f>78249.0</f>
        <v>78249.0</v>
      </c>
      <c r="F23" s="27" t="n">
        <f>0.943</f>
        <v>0.943</v>
      </c>
      <c r="G23" s="25" t="n">
        <f>7373229935681.0</f>
        <v>7.373229935681E12</v>
      </c>
      <c r="H23" s="26" t="n">
        <f>1029696209581.0</f>
        <v>1.029696209581E12</v>
      </c>
      <c r="I23" s="27" t="n">
        <f>0.576</f>
        <v>0.576</v>
      </c>
    </row>
    <row r="24" spans="1:9" ht="24.9" customHeight="1">
      <c r="A24" s="41"/>
      <c r="B24" s="39" t="s">
        <v>22</v>
      </c>
      <c r="C24" s="16" t="s">
        <v>15</v>
      </c>
      <c r="D24" s="17" t="n">
        <f>14060.0</f>
        <v>14060.0</v>
      </c>
      <c r="E24" s="18" t="n">
        <f>0.0</f>
        <v>0.0</v>
      </c>
      <c r="F24" s="19" t="n">
        <f>0.024</f>
        <v>0.024</v>
      </c>
      <c r="G24" s="17" t="n">
        <f>164180676450.0</f>
        <v>1.6418067645E11</v>
      </c>
      <c r="H24" s="18" t="n">
        <f>0.0</f>
        <v>0.0</v>
      </c>
      <c r="I24" s="19" t="n">
        <f>0.043</f>
        <v>0.043</v>
      </c>
    </row>
    <row r="25" spans="1:9" ht="24.9" customHeight="1">
      <c r="A25" s="41"/>
      <c r="B25" s="39"/>
      <c r="C25" s="20" t="s">
        <v>16</v>
      </c>
      <c r="D25" s="21" t="n">
        <f>9716.0</f>
        <v>9716.0</v>
      </c>
      <c r="E25" s="22" t="n">
        <f>0.0</f>
        <v>0.0</v>
      </c>
      <c r="F25" s="23" t="n">
        <f>0.031</f>
        <v>0.031</v>
      </c>
      <c r="G25" s="21" t="n">
        <f>122900030200.0</f>
        <v>1.229000302E11</v>
      </c>
      <c r="H25" s="22" t="n">
        <f>0.0</f>
        <v>0.0</v>
      </c>
      <c r="I25" s="23" t="n">
        <f>0.034</f>
        <v>0.034</v>
      </c>
    </row>
    <row r="26" spans="1:9" ht="24.9" customHeight="1">
      <c r="A26" s="41"/>
      <c r="B26" s="39"/>
      <c r="C26" s="20" t="s">
        <v>17</v>
      </c>
      <c r="D26" s="21" t="n">
        <f>8123.0</f>
        <v>8123.0</v>
      </c>
      <c r="E26" s="22" t="n">
        <f>0.0</f>
        <v>0.0</v>
      </c>
      <c r="F26" s="23" t="n">
        <f>0.018</f>
        <v>0.018</v>
      </c>
      <c r="G26" s="21" t="n">
        <f>79390217750.0</f>
        <v>7.939021775E10</v>
      </c>
      <c r="H26" s="22" t="n">
        <f>0.0</f>
        <v>0.0</v>
      </c>
      <c r="I26" s="23" t="n">
        <f>0.015</f>
        <v>0.015</v>
      </c>
    </row>
    <row r="27" spans="1:9" ht="24.9" customHeight="1">
      <c r="A27" s="42"/>
      <c r="B27" s="39"/>
      <c r="C27" s="24" t="s">
        <v>18</v>
      </c>
      <c r="D27" s="25" t="n">
        <f>31899.0</f>
        <v>31899.0</v>
      </c>
      <c r="E27" s="26" t="n">
        <f>0.0</f>
        <v>0.0</v>
      </c>
      <c r="F27" s="27" t="n">
        <f>0.024</f>
        <v>0.024</v>
      </c>
      <c r="G27" s="25" t="n">
        <f>366470924400.0</f>
        <v>3.664709244E11</v>
      </c>
      <c r="H27" s="26" t="n">
        <f>0.0</f>
        <v>0.0</v>
      </c>
      <c r="I27" s="27" t="n">
        <f>0.029</f>
        <v>0.029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295.0</f>
        <v>295.0</v>
      </c>
      <c r="E28" s="18" t="n">
        <f>12.0</f>
        <v>12.0</v>
      </c>
      <c r="F28" s="19" t="n">
        <f>0.001</f>
        <v>0.001</v>
      </c>
      <c r="G28" s="17" t="n">
        <f>1198898380.0</f>
        <v>1.19889838E9</v>
      </c>
      <c r="H28" s="18" t="n">
        <f>6356880.0</f>
        <v>6356880.0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178.0</f>
        <v>178.0</v>
      </c>
      <c r="E29" s="22" t="n">
        <f>0.0</f>
        <v>0.0</v>
      </c>
      <c r="F29" s="23" t="n">
        <f>0.001</f>
        <v>0.001</v>
      </c>
      <c r="G29" s="21" t="n">
        <f>726221500.0</f>
        <v>7.262215E8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1293.0</f>
        <v>1293.0</v>
      </c>
      <c r="E30" s="22" t="n">
        <f>0.0</f>
        <v>0.0</v>
      </c>
      <c r="F30" s="23" t="n">
        <f>0.003</f>
        <v>0.003</v>
      </c>
      <c r="G30" s="21" t="n">
        <f>5324038000.0</f>
        <v>5.324038E9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1766.0</f>
        <v>1766.0</v>
      </c>
      <c r="E31" s="26" t="n">
        <f>12.0</f>
        <v>12.0</v>
      </c>
      <c r="F31" s="27" t="n">
        <f>0.001</f>
        <v>0.001</v>
      </c>
      <c r="G31" s="25" t="n">
        <f>7249157880.0</f>
        <v>7.24915788E9</v>
      </c>
      <c r="H31" s="26" t="n">
        <f>6356880.0</f>
        <v>6356880.0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46127.0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46127.0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29765</f>
        <v>29765.0</v>
      </c>
      <c r="E11" s="18" t="n">
        <f>8193</f>
        <v>8193.0</v>
      </c>
      <c r="F11" s="19" t="n">
        <f>1</f>
        <v>1.0</v>
      </c>
      <c r="G11" s="17" t="n">
        <f>8906994450</f>
        <v>8.90699445E9</v>
      </c>
      <c r="H11" s="18" t="n">
        <f>7052256150</f>
        <v>7.05225615E9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28587</f>
        <v>28587.0</v>
      </c>
      <c r="E12" s="22" t="n">
        <f>6024</f>
        <v>6024.0</v>
      </c>
      <c r="F12" s="23" t="n">
        <f>1</f>
        <v>1.0</v>
      </c>
      <c r="G12" s="21" t="n">
        <f>5904611697</f>
        <v>5.904611697E9</v>
      </c>
      <c r="H12" s="22" t="n">
        <f>3785598760</f>
        <v>3.78559876E9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58824</f>
        <v>58824.0</v>
      </c>
      <c r="E13" s="22" t="n">
        <f>36838</f>
        <v>36838.0</v>
      </c>
      <c r="F13" s="23" t="n">
        <f>1</f>
        <v>1.0</v>
      </c>
      <c r="G13" s="21" t="n">
        <f>46986301893</f>
        <v>4.6986301893E10</v>
      </c>
      <c r="H13" s="22" t="n">
        <f>44408608874</f>
        <v>4.4408608874E10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117176</f>
        <v>117176.0</v>
      </c>
      <c r="E14" s="26" t="n">
        <f>51055</f>
        <v>51055.0</v>
      </c>
      <c r="F14" s="27" t="n">
        <f>1</f>
        <v>1.0</v>
      </c>
      <c r="G14" s="25" t="n">
        <f>61797908040</f>
        <v>6.179790804E10</v>
      </c>
      <c r="H14" s="26" t="n">
        <f>55246463784</f>
        <v>5.5246463784E10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15</f>
        <v>15.0</v>
      </c>
      <c r="E15" s="18" t="n">
        <f>0</f>
        <v>0.0</v>
      </c>
      <c r="F15" s="19" t="n">
        <f>0.001</f>
        <v>0.001</v>
      </c>
      <c r="G15" s="17" t="n">
        <f>6000000</f>
        <v>6000000.0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0</f>
        <v>0.0</v>
      </c>
      <c r="E16" s="22" t="n">
        <f>0</f>
        <v>0.0</v>
      </c>
      <c r="F16" s="23" t="n">
        <f>0</f>
        <v>0.0</v>
      </c>
      <c r="G16" s="21" t="n">
        <f>0</f>
        <v>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512</f>
        <v>512.0</v>
      </c>
      <c r="E17" s="22" t="n">
        <f>385</f>
        <v>385.0</v>
      </c>
      <c r="F17" s="23" t="n">
        <f>0.009</f>
        <v>0.009</v>
      </c>
      <c r="G17" s="21" t="n">
        <f>105620000</f>
        <v>1.0562E8</v>
      </c>
      <c r="H17" s="22" t="n">
        <f>71950000</f>
        <v>7.195E7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527</f>
        <v>527.0</v>
      </c>
      <c r="E18" s="26" t="n">
        <f>385</f>
        <v>385.0</v>
      </c>
      <c r="F18" s="27" t="n">
        <f>0.004</f>
        <v>0.004</v>
      </c>
      <c r="G18" s="25" t="n">
        <f>111620000</f>
        <v>1.1162E8</v>
      </c>
      <c r="H18" s="26" t="n">
        <f>71950000</f>
        <v>7.195E7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29750</f>
        <v>29750.0</v>
      </c>
      <c r="E19" s="18" t="n">
        <f>8193</f>
        <v>8193.0</v>
      </c>
      <c r="F19" s="19" t="n">
        <f>0.999</f>
        <v>0.999</v>
      </c>
      <c r="G19" s="17" t="n">
        <f>8900994450</f>
        <v>8.90099445E9</v>
      </c>
      <c r="H19" s="18" t="n">
        <f>7052256150</f>
        <v>7.05225615E9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24246</f>
        <v>24246.0</v>
      </c>
      <c r="E20" s="22" t="n">
        <f>4624</f>
        <v>4624.0</v>
      </c>
      <c r="F20" s="23" t="n">
        <f>0.848</f>
        <v>0.848</v>
      </c>
      <c r="G20" s="21" t="n">
        <f>5757465360</f>
        <v>5.75746536E9</v>
      </c>
      <c r="H20" s="22" t="n">
        <f>3707898760</f>
        <v>3.70789876E9</v>
      </c>
      <c r="I20" s="23" t="n">
        <f>0.975</f>
        <v>0.975</v>
      </c>
    </row>
    <row r="21" spans="1:9" ht="24.9" customHeight="1">
      <c r="A21" s="41"/>
      <c r="B21" s="39"/>
      <c r="C21" s="20" t="s">
        <v>17</v>
      </c>
      <c r="D21" s="21" t="n">
        <f>54912</f>
        <v>54912.0</v>
      </c>
      <c r="E21" s="22" t="n">
        <f>35453</f>
        <v>35453.0</v>
      </c>
      <c r="F21" s="23" t="n">
        <f>0.933</f>
        <v>0.933</v>
      </c>
      <c r="G21" s="21" t="n">
        <f>46857476774</f>
        <v>4.6857476774E10</v>
      </c>
      <c r="H21" s="22" t="n">
        <f>44326548874</f>
        <v>4.4326548874E10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108908</f>
        <v>108908.0</v>
      </c>
      <c r="E22" s="26" t="n">
        <f>48270</f>
        <v>48270.0</v>
      </c>
      <c r="F22" s="27" t="n">
        <f>0.929</f>
        <v>0.929</v>
      </c>
      <c r="G22" s="25" t="n">
        <f>61515936584</f>
        <v>6.1515936584E10</v>
      </c>
      <c r="H22" s="26" t="n">
        <f>55086703784</f>
        <v>5.5086703784E10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4341</f>
        <v>4341.0</v>
      </c>
      <c r="E24" s="22" t="n">
        <f>1400</f>
        <v>1400.0</v>
      </c>
      <c r="F24" s="23" t="n">
        <f>0.152</f>
        <v>0.152</v>
      </c>
      <c r="G24" s="21" t="n">
        <f>147146337</f>
        <v>1.47146337E8</v>
      </c>
      <c r="H24" s="22" t="n">
        <f>77700000</f>
        <v>7.77E7</v>
      </c>
      <c r="I24" s="23" t="n">
        <f>0.025</f>
        <v>0.025</v>
      </c>
    </row>
    <row r="25" spans="1:9" ht="24.9" customHeight="1">
      <c r="A25" s="41"/>
      <c r="B25" s="39"/>
      <c r="C25" s="20" t="s">
        <v>17</v>
      </c>
      <c r="D25" s="21" t="n">
        <f>3400</f>
        <v>3400.0</v>
      </c>
      <c r="E25" s="22" t="n">
        <f>1000</f>
        <v>1000.0</v>
      </c>
      <c r="F25" s="23" t="n">
        <f>0.058</f>
        <v>0.058</v>
      </c>
      <c r="G25" s="21" t="n">
        <f>23205119</f>
        <v>2.3205119E7</v>
      </c>
      <c r="H25" s="22" t="n">
        <f>10110000</f>
        <v>1.011E7</v>
      </c>
      <c r="I25" s="23" t="n">
        <f>0</f>
        <v>0.0</v>
      </c>
    </row>
    <row r="26" spans="1:9" ht="24.9" customHeight="1">
      <c r="A26" s="41"/>
      <c r="B26" s="39"/>
      <c r="C26" s="24" t="s">
        <v>18</v>
      </c>
      <c r="D26" s="25" t="n">
        <f>7741</f>
        <v>7741.0</v>
      </c>
      <c r="E26" s="26" t="n">
        <f>2400</f>
        <v>2400.0</v>
      </c>
      <c r="F26" s="27" t="n">
        <f>0.066</f>
        <v>0.066</v>
      </c>
      <c r="G26" s="25" t="n">
        <f>170351456</f>
        <v>1.70351456E8</v>
      </c>
      <c r="H26" s="26" t="n">
        <f>87810000</f>
        <v>8.781E7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46127.0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46127.0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10116.0</v>
      </c>
      <c r="F12" s="18" t="n">
        <f>2107</f>
        <v>2107.0</v>
      </c>
      <c r="G12" s="17" t="n">
        <v>5.905612315E11</v>
      </c>
      <c r="H12" s="18" t="n">
        <f>122833824500</f>
        <v>1.228338245E11</v>
      </c>
    </row>
    <row r="13" spans="1:8" ht="24.9" customHeight="1">
      <c r="A13" s="51"/>
      <c r="B13" s="57"/>
      <c r="C13" s="39"/>
      <c r="D13" s="20" t="s">
        <v>16</v>
      </c>
      <c r="E13" s="21" t="n">
        <v>7371.0</v>
      </c>
      <c r="F13" s="22" t="n">
        <f>259</f>
        <v>259.0</v>
      </c>
      <c r="G13" s="21" t="n">
        <v>4.319367433E11</v>
      </c>
      <c r="H13" s="22" t="n">
        <f>15166843300</f>
        <v>1.51668433E10</v>
      </c>
    </row>
    <row r="14" spans="1:8" ht="24.9" customHeight="1">
      <c r="A14" s="51"/>
      <c r="B14" s="57"/>
      <c r="C14" s="39"/>
      <c r="D14" s="20" t="s">
        <v>17</v>
      </c>
      <c r="E14" s="21" t="n">
        <v>17891.0</v>
      </c>
      <c r="F14" s="22" t="n">
        <f>4877</f>
        <v>4877.0</v>
      </c>
      <c r="G14" s="21" t="n">
        <v>1.043881711346E12</v>
      </c>
      <c r="H14" s="22" t="n">
        <f>284529573346</f>
        <v>2.84529573346E11</v>
      </c>
    </row>
    <row r="15" spans="1:8" ht="24.9" customHeight="1">
      <c r="A15" s="51"/>
      <c r="B15" s="57"/>
      <c r="C15" s="39"/>
      <c r="D15" s="24" t="s">
        <v>18</v>
      </c>
      <c r="E15" s="25" t="n">
        <v>35378.0</v>
      </c>
      <c r="F15" s="26" t="n">
        <f>7243</f>
        <v>7243.0</v>
      </c>
      <c r="G15" s="25" t="n">
        <v>2.066379686146E12</v>
      </c>
      <c r="H15" s="26" t="n">
        <f>422530241146</f>
        <v>4.22530241146E11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194563.0</v>
      </c>
      <c r="F16" s="18" t="n">
        <f>30077</f>
        <v>30077.0</v>
      </c>
      <c r="G16" s="17" t="n">
        <v>1.13578368693E12</v>
      </c>
      <c r="H16" s="18" t="n">
        <f>175542778930</f>
        <v>1.7554277893E11</v>
      </c>
    </row>
    <row r="17" spans="1:8" ht="24.9" customHeight="1">
      <c r="A17" s="51"/>
      <c r="B17" s="57"/>
      <c r="C17" s="39"/>
      <c r="D17" s="20" t="s">
        <v>16</v>
      </c>
      <c r="E17" s="21" t="n">
        <v>113186.0</v>
      </c>
      <c r="F17" s="22" t="n">
        <f>13722</f>
        <v>13722.0</v>
      </c>
      <c r="G17" s="21" t="n">
        <v>6.6330157282E11</v>
      </c>
      <c r="H17" s="22" t="n">
        <f>80404425820</f>
        <v>8.040442582E10</v>
      </c>
    </row>
    <row r="18" spans="1:8" ht="24.9" customHeight="1">
      <c r="A18" s="51"/>
      <c r="B18" s="57"/>
      <c r="C18" s="39"/>
      <c r="D18" s="20" t="s">
        <v>17</v>
      </c>
      <c r="E18" s="21" t="n">
        <v>164327.0</v>
      </c>
      <c r="F18" s="22" t="n">
        <f>17494</f>
        <v>17494.0</v>
      </c>
      <c r="G18" s="21" t="n">
        <v>9.58822688253E11</v>
      </c>
      <c r="H18" s="22" t="n">
        <f>102078617753</f>
        <v>1.02078617753E11</v>
      </c>
    </row>
    <row r="19" spans="1:8" ht="24.9" customHeight="1">
      <c r="A19" s="51"/>
      <c r="B19" s="57"/>
      <c r="C19" s="39"/>
      <c r="D19" s="24" t="s">
        <v>18</v>
      </c>
      <c r="E19" s="25" t="n">
        <v>472076.0</v>
      </c>
      <c r="F19" s="26" t="n">
        <f>61293</f>
        <v>61293.0</v>
      </c>
      <c r="G19" s="25" t="n">
        <v>2.757907948003E12</v>
      </c>
      <c r="H19" s="26" t="n">
        <f>358025822503</f>
        <v>3.58025822503E11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331390.0</v>
      </c>
      <c r="F20" s="18" t="str">
        <f>"－"</f>
        <v>－</v>
      </c>
      <c r="G20" s="17" t="n">
        <v>1.9341535865E11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146282.0</v>
      </c>
      <c r="F21" s="22" t="str">
        <f>"－"</f>
        <v>－</v>
      </c>
      <c r="G21" s="21" t="n">
        <v>8.571763745E10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205521.0</v>
      </c>
      <c r="F22" s="22" t="str">
        <f>"－"</f>
        <v>－</v>
      </c>
      <c r="G22" s="21" t="n">
        <v>1.1993719325E11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683193.0</v>
      </c>
      <c r="F23" s="26" t="str">
        <f>"－"</f>
        <v>－</v>
      </c>
      <c r="G23" s="25" t="n">
        <v>3.9907018935E11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15001.0</v>
      </c>
      <c r="F24" s="18" t="n">
        <f>16</f>
        <v>16.0</v>
      </c>
      <c r="G24" s="17" t="n">
        <v>5.688146488E11</v>
      </c>
      <c r="H24" s="18" t="n">
        <f>604268800</f>
        <v>6.042688E8</v>
      </c>
    </row>
    <row r="25" spans="1:8" ht="24.9" customHeight="1">
      <c r="A25" s="51"/>
      <c r="B25" s="57"/>
      <c r="C25" s="39"/>
      <c r="D25" s="20" t="s">
        <v>16</v>
      </c>
      <c r="E25" s="21" t="n">
        <v>12929.0</v>
      </c>
      <c r="F25" s="22" t="n">
        <f>322</f>
        <v>322.0</v>
      </c>
      <c r="G25" s="21" t="n">
        <v>4.90541466E11</v>
      </c>
      <c r="H25" s="22" t="n">
        <f>12206626000</f>
        <v>1.2206626E10</v>
      </c>
    </row>
    <row r="26" spans="1:8" ht="24.9" customHeight="1">
      <c r="A26" s="51"/>
      <c r="B26" s="57"/>
      <c r="C26" s="39"/>
      <c r="D26" s="20" t="s">
        <v>17</v>
      </c>
      <c r="E26" s="21" t="n">
        <v>26622.0</v>
      </c>
      <c r="F26" s="22" t="n">
        <f>6045</f>
        <v>6045.0</v>
      </c>
      <c r="G26" s="21" t="n">
        <v>1.00603290038E12</v>
      </c>
      <c r="H26" s="22" t="n">
        <f>228327100380</f>
        <v>2.2832710038E11</v>
      </c>
    </row>
    <row r="27" spans="1:8" ht="24.9" customHeight="1">
      <c r="A27" s="51"/>
      <c r="B27" s="57"/>
      <c r="C27" s="39"/>
      <c r="D27" s="24" t="s">
        <v>18</v>
      </c>
      <c r="E27" s="25" t="n">
        <v>54552.0</v>
      </c>
      <c r="F27" s="26" t="n">
        <f>6383</f>
        <v>6383.0</v>
      </c>
      <c r="G27" s="25" t="n">
        <v>2.06538901518E12</v>
      </c>
      <c r="H27" s="26" t="n">
        <f>241137995180</f>
        <v>2.4113799518E11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6202.0</v>
      </c>
      <c r="F28" s="18" t="n">
        <f>375</f>
        <v>375.0</v>
      </c>
      <c r="G28" s="17" t="n">
        <v>2.348554945E10</v>
      </c>
      <c r="H28" s="18" t="n">
        <f>1418862700</f>
        <v>1.4188627E9</v>
      </c>
    </row>
    <row r="29" spans="1:8" ht="24.9" customHeight="1">
      <c r="A29" s="51"/>
      <c r="B29" s="57"/>
      <c r="C29" s="39"/>
      <c r="D29" s="20" t="s">
        <v>16</v>
      </c>
      <c r="E29" s="21" t="n">
        <v>4253.0</v>
      </c>
      <c r="F29" s="22" t="n">
        <f>248</f>
        <v>248.0</v>
      </c>
      <c r="G29" s="21" t="n">
        <v>1.614152395E10</v>
      </c>
      <c r="H29" s="22" t="n">
        <f>941299450</f>
        <v>9.4129945E8</v>
      </c>
    </row>
    <row r="30" spans="1:8" ht="24.9" customHeight="1">
      <c r="A30" s="51"/>
      <c r="B30" s="57"/>
      <c r="C30" s="39"/>
      <c r="D30" s="20" t="s">
        <v>17</v>
      </c>
      <c r="E30" s="21" t="n">
        <v>6377.0</v>
      </c>
      <c r="F30" s="22" t="n">
        <f>166</f>
        <v>166.0</v>
      </c>
      <c r="G30" s="21" t="n">
        <v>2.410413665E10</v>
      </c>
      <c r="H30" s="22" t="n">
        <f>627406650</f>
        <v>6.2740665E8</v>
      </c>
    </row>
    <row r="31" spans="1:8" ht="24.9" customHeight="1">
      <c r="A31" s="51"/>
      <c r="B31" s="57"/>
      <c r="C31" s="39"/>
      <c r="D31" s="24" t="s">
        <v>18</v>
      </c>
      <c r="E31" s="25" t="n">
        <v>16832.0</v>
      </c>
      <c r="F31" s="26" t="n">
        <f>789</f>
        <v>789.0</v>
      </c>
      <c r="G31" s="25" t="n">
        <v>6.373121005E10</v>
      </c>
      <c r="H31" s="26" t="n">
        <f>2987568800</f>
        <v>2.9875688E9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519.0</v>
      </c>
      <c r="F36" s="18" t="n">
        <f>0</f>
        <v>0.0</v>
      </c>
      <c r="G36" s="17" t="n">
        <v>1.780516E9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887.0</v>
      </c>
      <c r="F37" s="22" t="n">
        <f>1</f>
        <v>1.0</v>
      </c>
      <c r="G37" s="21" t="n">
        <v>3.0452335E9</v>
      </c>
      <c r="H37" s="22" t="n">
        <f>3422500</f>
        <v>3422500.0</v>
      </c>
    </row>
    <row r="38" spans="1:8" ht="24.9" customHeight="1">
      <c r="A38" s="51"/>
      <c r="B38" s="57"/>
      <c r="C38" s="39"/>
      <c r="D38" s="20" t="s">
        <v>17</v>
      </c>
      <c r="E38" s="21" t="n">
        <v>860.0</v>
      </c>
      <c r="F38" s="22" t="n">
        <f>37</f>
        <v>37.0</v>
      </c>
      <c r="G38" s="21" t="n">
        <v>2.9418505E9</v>
      </c>
      <c r="H38" s="22" t="n">
        <f>126380500</f>
        <v>1.263805E8</v>
      </c>
    </row>
    <row r="39" spans="1:8" ht="24.9" customHeight="1">
      <c r="A39" s="51"/>
      <c r="B39" s="57"/>
      <c r="C39" s="39"/>
      <c r="D39" s="24" t="s">
        <v>18</v>
      </c>
      <c r="E39" s="25" t="n">
        <v>2266.0</v>
      </c>
      <c r="F39" s="26" t="n">
        <f>38</f>
        <v>38.0</v>
      </c>
      <c r="G39" s="25" t="n">
        <v>7.7676E9</v>
      </c>
      <c r="H39" s="26" t="n">
        <f>129803000</f>
        <v>1.29803E8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10.0</v>
      </c>
      <c r="F45" s="22" t="n">
        <f>10</f>
        <v>10.0</v>
      </c>
      <c r="G45" s="21" t="n">
        <v>6.17E7</v>
      </c>
      <c r="H45" s="22" t="n">
        <f>61700000</f>
        <v>6.17E7</v>
      </c>
    </row>
    <row r="46" spans="1:8" ht="24.9" customHeight="1">
      <c r="A46" s="51"/>
      <c r="B46" s="57"/>
      <c r="C46" s="39"/>
      <c r="D46" s="20" t="s">
        <v>17</v>
      </c>
      <c r="E46" s="21" t="n">
        <v>81.0</v>
      </c>
      <c r="F46" s="22" t="n">
        <f>81</f>
        <v>81.0</v>
      </c>
      <c r="G46" s="21" t="n">
        <v>4.98891753E8</v>
      </c>
      <c r="H46" s="22" t="n">
        <f>498891753</f>
        <v>4.98891753E8</v>
      </c>
    </row>
    <row r="47" spans="1:8" ht="24.9" customHeight="1">
      <c r="A47" s="51"/>
      <c r="B47" s="57"/>
      <c r="C47" s="39"/>
      <c r="D47" s="24" t="s">
        <v>18</v>
      </c>
      <c r="E47" s="25" t="n">
        <v>91.0</v>
      </c>
      <c r="F47" s="26" t="n">
        <f>91</f>
        <v>91.0</v>
      </c>
      <c r="G47" s="25" t="n">
        <v>5.60591753E8</v>
      </c>
      <c r="H47" s="26" t="n">
        <f>560591753</f>
        <v>5.60591753E8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159.0</v>
      </c>
      <c r="F48" s="18" t="n">
        <f>159</f>
        <v>159.0</v>
      </c>
      <c r="G48" s="17" t="n">
        <v>3.063284E8</v>
      </c>
      <c r="H48" s="18" t="n">
        <f>306328400</f>
        <v>3.063284E8</v>
      </c>
    </row>
    <row r="49" spans="1:8" ht="24.9" customHeight="1">
      <c r="A49" s="51"/>
      <c r="B49" s="57"/>
      <c r="C49" s="39"/>
      <c r="D49" s="20" t="s">
        <v>16</v>
      </c>
      <c r="E49" s="21" t="n">
        <v>50.0</v>
      </c>
      <c r="F49" s="22" t="n">
        <f>0</f>
        <v>0.0</v>
      </c>
      <c r="G49" s="21" t="n">
        <v>9.6632E7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2148.0</v>
      </c>
      <c r="F50" s="22" t="n">
        <f>1967</f>
        <v>1967.0</v>
      </c>
      <c r="G50" s="21" t="n">
        <v>4.133454229E9</v>
      </c>
      <c r="H50" s="22" t="n">
        <f>3784151229</f>
        <v>3.784151229E9</v>
      </c>
    </row>
    <row r="51" spans="1:8" ht="24.9" customHeight="1">
      <c r="A51" s="51"/>
      <c r="B51" s="57"/>
      <c r="C51" s="39"/>
      <c r="D51" s="24" t="s">
        <v>18</v>
      </c>
      <c r="E51" s="25" t="n">
        <v>2357.0</v>
      </c>
      <c r="F51" s="26" t="n">
        <f>2126</f>
        <v>2126.0</v>
      </c>
      <c r="G51" s="25" t="n">
        <v>4.536414629E9</v>
      </c>
      <c r="H51" s="26" t="n">
        <f>4090479629</f>
        <v>4.090479629E9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730.0</v>
      </c>
      <c r="F56" s="18" t="n">
        <f>14</f>
        <v>14.0</v>
      </c>
      <c r="G56" s="17" t="n">
        <v>5.500383E8</v>
      </c>
      <c r="H56" s="18" t="n">
        <f>10540300</f>
        <v>1.05403E7</v>
      </c>
    </row>
    <row r="57" spans="1:8" ht="24.9" customHeight="1">
      <c r="A57" s="51"/>
      <c r="B57" s="57"/>
      <c r="C57" s="39"/>
      <c r="D57" s="20" t="s">
        <v>16</v>
      </c>
      <c r="E57" s="21" t="n">
        <v>1137.0</v>
      </c>
      <c r="F57" s="22" t="n">
        <f>21</f>
        <v>21.0</v>
      </c>
      <c r="G57" s="21" t="n">
        <v>8.63378E8</v>
      </c>
      <c r="H57" s="22" t="n">
        <f>15964000</f>
        <v>1.5964E7</v>
      </c>
    </row>
    <row r="58" spans="1:8" ht="24.9" customHeight="1">
      <c r="A58" s="51"/>
      <c r="B58" s="57"/>
      <c r="C58" s="39"/>
      <c r="D58" s="20" t="s">
        <v>17</v>
      </c>
      <c r="E58" s="21" t="n">
        <v>1448.0</v>
      </c>
      <c r="F58" s="22" t="n">
        <f>248</f>
        <v>248.0</v>
      </c>
      <c r="G58" s="21" t="n">
        <v>1.09787377E9</v>
      </c>
      <c r="H58" s="22" t="n">
        <f>192661770</f>
        <v>1.9266177E8</v>
      </c>
    </row>
    <row r="59" spans="1:8" ht="24.9" customHeight="1">
      <c r="A59" s="51"/>
      <c r="B59" s="57"/>
      <c r="C59" s="39"/>
      <c r="D59" s="24" t="s">
        <v>18</v>
      </c>
      <c r="E59" s="25" t="n">
        <v>3315.0</v>
      </c>
      <c r="F59" s="26" t="n">
        <f>283</f>
        <v>283.0</v>
      </c>
      <c r="G59" s="25" t="n">
        <v>2.51129007E9</v>
      </c>
      <c r="H59" s="26" t="n">
        <f>219166070</f>
        <v>2.1916607E8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176.0</v>
      </c>
      <c r="F60" s="18" t="n">
        <f>3</f>
        <v>3.0</v>
      </c>
      <c r="G60" s="17" t="n">
        <v>8.55279E8</v>
      </c>
      <c r="H60" s="18" t="n">
        <f>14541500</f>
        <v>1.45415E7</v>
      </c>
    </row>
    <row r="61" spans="1:8" ht="24.9" customHeight="1">
      <c r="A61" s="51"/>
      <c r="B61" s="57"/>
      <c r="C61" s="39"/>
      <c r="D61" s="20" t="s">
        <v>16</v>
      </c>
      <c r="E61" s="21" t="n">
        <v>13.0</v>
      </c>
      <c r="F61" s="22" t="n">
        <f>0</f>
        <v>0.0</v>
      </c>
      <c r="G61" s="21" t="n">
        <v>6.3388E7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18.0</v>
      </c>
      <c r="F62" s="22" t="n">
        <f>0</f>
        <v>0.0</v>
      </c>
      <c r="G62" s="21" t="n">
        <v>8.78051E7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207.0</v>
      </c>
      <c r="F63" s="26" t="n">
        <f>3</f>
        <v>3.0</v>
      </c>
      <c r="G63" s="25" t="n">
        <v>1.0064721E9</v>
      </c>
      <c r="H63" s="26" t="n">
        <f>14541500</f>
        <v>1.45415E7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633000.0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10.0</v>
      </c>
      <c r="F78" s="22" t="n">
        <f>0</f>
        <v>0.0</v>
      </c>
      <c r="G78" s="21" t="n">
        <v>3151500.0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12.0</v>
      </c>
      <c r="F79" s="26" t="n">
        <f>0</f>
        <v>0.0</v>
      </c>
      <c r="G79" s="25" t="n">
        <v>3784500.0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1300.0</v>
      </c>
      <c r="F92" s="18" t="n">
        <f>0</f>
        <v>0.0</v>
      </c>
      <c r="G92" s="17" t="n">
        <v>2.05248E9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745.0</v>
      </c>
      <c r="F93" s="22" t="n">
        <f>0</f>
        <v>0.0</v>
      </c>
      <c r="G93" s="21" t="n">
        <v>1.1777077E9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718.0</v>
      </c>
      <c r="F94" s="22" t="n">
        <f>0</f>
        <v>0.0</v>
      </c>
      <c r="G94" s="21" t="n">
        <v>1.1355462E9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2763.0</v>
      </c>
      <c r="F95" s="26" t="n">
        <f>0</f>
        <v>0.0</v>
      </c>
      <c r="G95" s="25" t="n">
        <v>4.3657339E9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8834.0</v>
      </c>
      <c r="F108" s="18" t="n">
        <f>1</f>
        <v>1.0</v>
      </c>
      <c r="G108" s="17" t="n">
        <v>1.14768063E12</v>
      </c>
      <c r="H108" s="18" t="n">
        <f>129890000</f>
        <v>1.2989E8</v>
      </c>
    </row>
    <row r="109" spans="1:8" ht="24.9" customHeight="1">
      <c r="A109" s="51"/>
      <c r="B109" s="57"/>
      <c r="C109" s="39"/>
      <c r="D109" s="20" t="s">
        <v>16</v>
      </c>
      <c r="E109" s="21" t="n">
        <v>13350.0</v>
      </c>
      <c r="F109" s="22" t="n">
        <f>1012</f>
        <v>1012.0</v>
      </c>
      <c r="G109" s="21" t="n">
        <v>1.735023755E12</v>
      </c>
      <c r="H109" s="22" t="n">
        <f>131511125000</f>
        <v>1.31511125E11</v>
      </c>
    </row>
    <row r="110" spans="1:8" ht="24.9" customHeight="1">
      <c r="A110" s="51"/>
      <c r="B110" s="57"/>
      <c r="C110" s="39"/>
      <c r="D110" s="20" t="s">
        <v>17</v>
      </c>
      <c r="E110" s="21" t="n">
        <v>16015.0</v>
      </c>
      <c r="F110" s="22" t="n">
        <f>1314</f>
        <v>1314.0</v>
      </c>
      <c r="G110" s="21" t="n">
        <v>2.083309305E12</v>
      </c>
      <c r="H110" s="22" t="n">
        <f>170909345000</f>
        <v>1.70909345E11</v>
      </c>
    </row>
    <row r="111" spans="1:8" ht="24.9" customHeight="1">
      <c r="A111" s="51"/>
      <c r="B111" s="57"/>
      <c r="C111" s="39"/>
      <c r="D111" s="24" t="s">
        <v>18</v>
      </c>
      <c r="E111" s="25" t="n">
        <v>38199.0</v>
      </c>
      <c r="F111" s="26" t="n">
        <f>2327</f>
        <v>2327.0</v>
      </c>
      <c r="G111" s="25" t="n">
        <v>4.96601369E12</v>
      </c>
      <c r="H111" s="26" t="n">
        <f>302550360000</f>
        <v>3.0255036E11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421.0</v>
      </c>
      <c r="F113" s="22" t="n">
        <f>0</f>
        <v>0.0</v>
      </c>
      <c r="G113" s="21" t="n">
        <v>5.471709E9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511.0</v>
      </c>
      <c r="F114" s="22" t="n">
        <f>0</f>
        <v>0.0</v>
      </c>
      <c r="G114" s="21" t="n">
        <v>6.647385E9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932.0</v>
      </c>
      <c r="F115" s="26" t="n">
        <f>0</f>
        <v>0.0</v>
      </c>
      <c r="G115" s="25" t="n">
        <v>1.2119094E10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3050.0</v>
      </c>
      <c r="F117" s="22" t="n">
        <f>0</f>
        <v>0.0</v>
      </c>
      <c r="G117" s="21" t="n">
        <v>2.92312E10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20.0</v>
      </c>
      <c r="F118" s="22" t="n">
        <f>0</f>
        <v>0.0</v>
      </c>
      <c r="G118" s="21" t="n">
        <v>1.919E8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3070.0</v>
      </c>
      <c r="F119" s="26" t="n">
        <f>0</f>
        <v>0.0</v>
      </c>
      <c r="G119" s="25" t="n">
        <v>2.94231E10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1231.0</v>
      </c>
      <c r="F120" s="18" t="n">
        <f>0</f>
        <v>0.0</v>
      </c>
      <c r="G120" s="17" t="n">
        <v>3.05330525E10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259.0</v>
      </c>
      <c r="F121" s="22" t="n">
        <f>0</f>
        <v>0.0</v>
      </c>
      <c r="G121" s="21" t="n">
        <v>6.4089775E9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257.0</v>
      </c>
      <c r="F122" s="22" t="n">
        <f>0</f>
        <v>0.0</v>
      </c>
      <c r="G122" s="21" t="n">
        <v>6.361723125E9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1747.0</v>
      </c>
      <c r="F123" s="26" t="n">
        <f>0</f>
        <v>0.0</v>
      </c>
      <c r="G123" s="25" t="n">
        <v>4.3303753125E10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5588.0</v>
      </c>
      <c r="F124" s="18" t="n">
        <f>0</f>
        <v>0.0</v>
      </c>
      <c r="G124" s="17" t="n">
        <v>1.40760204E11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4193.0</v>
      </c>
      <c r="F125" s="22" t="n">
        <f>0</f>
        <v>0.0</v>
      </c>
      <c r="G125" s="21" t="n">
        <v>1.06598433E11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2612.0</v>
      </c>
      <c r="F126" s="22" t="n">
        <f>0</f>
        <v>0.0</v>
      </c>
      <c r="G126" s="21" t="n">
        <v>6.6296727E10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12393.0</v>
      </c>
      <c r="F127" s="26" t="n">
        <f>0</f>
        <v>0.0</v>
      </c>
      <c r="G127" s="25" t="n">
        <v>3.13655364E11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174.0</v>
      </c>
      <c r="F128" s="18" t="n">
        <f>0</f>
        <v>0.0</v>
      </c>
      <c r="G128" s="17" t="n">
        <v>4.371651E8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101.0</v>
      </c>
      <c r="F129" s="22" t="n">
        <f>0</f>
        <v>0.0</v>
      </c>
      <c r="G129" s="21" t="n">
        <v>2.568297E8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148.0</v>
      </c>
      <c r="F130" s="22" t="n">
        <f>0</f>
        <v>0.0</v>
      </c>
      <c r="G130" s="21" t="n">
        <v>3.758154E8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423.0</v>
      </c>
      <c r="F131" s="26" t="n">
        <f>0</f>
        <v>0.0</v>
      </c>
      <c r="G131" s="25" t="n">
        <v>1.0698102E9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5883.0</v>
      </c>
      <c r="F132" s="18" t="n">
        <f>0</f>
        <v>0.0</v>
      </c>
      <c r="G132" s="17" t="n">
        <v>1.48530669E10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2946.0</v>
      </c>
      <c r="F133" s="22" t="n">
        <f>0</f>
        <v>0.0</v>
      </c>
      <c r="G133" s="21" t="n">
        <v>7.5049579E9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1755.0</v>
      </c>
      <c r="F134" s="22" t="n">
        <f>0</f>
        <v>0.0</v>
      </c>
      <c r="G134" s="21" t="n">
        <v>4.4666194E9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10584.0</v>
      </c>
      <c r="F135" s="26" t="n">
        <f>0</f>
        <v>0.0</v>
      </c>
      <c r="G135" s="25" t="n">
        <v>2.68246442E10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171.0</v>
      </c>
      <c r="F136" s="18" t="n">
        <f>0</f>
        <v>0.0</v>
      </c>
      <c r="G136" s="17" t="n">
        <v>4.271421E8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128.0</v>
      </c>
      <c r="F137" s="22" t="n">
        <f>0</f>
        <v>0.0</v>
      </c>
      <c r="G137" s="21" t="n">
        <v>3.223366E8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66.0</v>
      </c>
      <c r="F138" s="22" t="n">
        <f>0</f>
        <v>0.0</v>
      </c>
      <c r="G138" s="21" t="n">
        <v>1.661241E8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365.0</v>
      </c>
      <c r="F139" s="26" t="n">
        <f>0</f>
        <v>0.0</v>
      </c>
      <c r="G139" s="25" t="n">
        <v>9.156028E8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1.0</v>
      </c>
      <c r="F142" s="22" t="n">
        <f>0</f>
        <v>0.0</v>
      </c>
      <c r="G142" s="21" t="n">
        <v>1.2003E7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1.2003E7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1254.0</v>
      </c>
      <c r="F144" s="18" t="n">
        <f>0</f>
        <v>0.0</v>
      </c>
      <c r="G144" s="17" t="n">
        <v>6.6172435E9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1324.0</v>
      </c>
      <c r="F145" s="22" t="n">
        <f>0</f>
        <v>0.0</v>
      </c>
      <c r="G145" s="21" t="n">
        <v>7.070844E9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930.0</v>
      </c>
      <c r="F146" s="22" t="n">
        <f>0</f>
        <v>0.0</v>
      </c>
      <c r="G146" s="21" t="n">
        <v>4.9760255E9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3508.0</v>
      </c>
      <c r="F147" s="26" t="n">
        <f>0</f>
        <v>0.0</v>
      </c>
      <c r="G147" s="25" t="n">
        <v>1.8664113E10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441.0</v>
      </c>
      <c r="F148" s="18" t="n">
        <f>0</f>
        <v>0.0</v>
      </c>
      <c r="G148" s="17" t="n">
        <v>4.749439E8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401.0</v>
      </c>
      <c r="F149" s="22" t="n">
        <f>0</f>
        <v>0.0</v>
      </c>
      <c r="G149" s="21" t="n">
        <v>4.344253E8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1152.0</v>
      </c>
      <c r="F150" s="22" t="n">
        <f>0</f>
        <v>0.0</v>
      </c>
      <c r="G150" s="21" t="n">
        <v>1.2548389E9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1994.0</v>
      </c>
      <c r="F151" s="26" t="n">
        <f>0</f>
        <v>0.0</v>
      </c>
      <c r="G151" s="25" t="n">
        <v>2.1642081E9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240.0</v>
      </c>
      <c r="F152" s="18" t="n">
        <f>0</f>
        <v>0.0</v>
      </c>
      <c r="G152" s="17" t="n">
        <v>2.5329385E8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180.0</v>
      </c>
      <c r="F153" s="22" t="n">
        <f>0</f>
        <v>0.0</v>
      </c>
      <c r="G153" s="21" t="n">
        <v>1.924688E8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279.0</v>
      </c>
      <c r="F154" s="22" t="n">
        <f>0</f>
        <v>0.0</v>
      </c>
      <c r="G154" s="21" t="n">
        <v>2.9959155E8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699.0</v>
      </c>
      <c r="F155" s="26" t="n">
        <f>0</f>
        <v>0.0</v>
      </c>
      <c r="G155" s="25" t="n">
        <v>7.453542E8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280.0</v>
      </c>
      <c r="F156" s="18" t="n">
        <f>0</f>
        <v>0.0</v>
      </c>
      <c r="G156" s="17" t="n">
        <v>3.014851E8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397.0</v>
      </c>
      <c r="F157" s="22" t="n">
        <f>0</f>
        <v>0.0</v>
      </c>
      <c r="G157" s="21" t="n">
        <v>4.306249E8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869.0</v>
      </c>
      <c r="F158" s="22" t="n">
        <f>0</f>
        <v>0.0</v>
      </c>
      <c r="G158" s="21" t="n">
        <v>9.465674E8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1546.0</v>
      </c>
      <c r="F159" s="26" t="n">
        <f>0</f>
        <v>0.0</v>
      </c>
      <c r="G159" s="25" t="n">
        <v>1.6786774E9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29.0</v>
      </c>
      <c r="F168" s="18" t="n">
        <f>0</f>
        <v>0.0</v>
      </c>
      <c r="G168" s="17" t="n">
        <v>5.6132E7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46.0</v>
      </c>
      <c r="F169" s="22" t="n">
        <f>0</f>
        <v>0.0</v>
      </c>
      <c r="G169" s="21" t="n">
        <v>8.911E7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281.0</v>
      </c>
      <c r="F170" s="22" t="n">
        <f>0</f>
        <v>0.0</v>
      </c>
      <c r="G170" s="21" t="n">
        <v>5.456045E8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356.0</v>
      </c>
      <c r="F171" s="26" t="n">
        <f>0</f>
        <v>0.0</v>
      </c>
      <c r="G171" s="25" t="n">
        <v>6.908465E8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30.0</v>
      </c>
      <c r="F178" s="22" t="n">
        <f>0</f>
        <v>0.0</v>
      </c>
      <c r="G178" s="21" t="n">
        <v>5.0301E7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30.0</v>
      </c>
      <c r="F179" s="26" t="n">
        <f>0</f>
        <v>0.0</v>
      </c>
      <c r="G179" s="25" t="n">
        <v>5.0301E7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283.0</v>
      </c>
      <c r="F204" s="18" t="n">
        <f>0</f>
        <v>0.0</v>
      </c>
      <c r="G204" s="17" t="n">
        <v>1.1925415E9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178.0</v>
      </c>
      <c r="F205" s="22" t="n">
        <f>0</f>
        <v>0.0</v>
      </c>
      <c r="G205" s="21" t="n">
        <v>7.262215E8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1293.0</v>
      </c>
      <c r="F206" s="22" t="n">
        <f>0</f>
        <v>0.0</v>
      </c>
      <c r="G206" s="21" t="n">
        <v>5.324038E9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1754.0</v>
      </c>
      <c r="F207" s="26" t="n">
        <f>0</f>
        <v>0.0</v>
      </c>
      <c r="G207" s="25" t="n">
        <v>7.242801E9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12.0</v>
      </c>
      <c r="F220" s="18" t="n">
        <f>12</f>
        <v>12.0</v>
      </c>
      <c r="G220" s="17" t="n">
        <v>6356880.0</v>
      </c>
      <c r="H220" s="18" t="n">
        <f>6356880</f>
        <v>6356880.0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12.0</v>
      </c>
      <c r="F223" s="26" t="n">
        <f>12</f>
        <v>12.0</v>
      </c>
      <c r="G223" s="25" t="n">
        <v>6356880.0</v>
      </c>
      <c r="H223" s="26" t="n">
        <f>6356880</f>
        <v>6356880.0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46127.0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46127.0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5641</f>
        <v>5641.0</v>
      </c>
      <c r="E12" s="35" t="n">
        <f>3730</f>
        <v>3730.0</v>
      </c>
      <c r="F12" s="17" t="n">
        <f>3457</f>
        <v>3457.0</v>
      </c>
      <c r="G12" s="35" t="n">
        <f>1503</f>
        <v>1503.0</v>
      </c>
      <c r="H12" s="17" t="n">
        <f>9098</f>
        <v>9098.0</v>
      </c>
      <c r="I12" s="35" t="n">
        <f>5233</f>
        <v>5233.0</v>
      </c>
      <c r="J12" s="17" t="n">
        <f>2122526990</f>
        <v>2.12252699E9</v>
      </c>
      <c r="K12" s="35" t="n">
        <f>1526212990</f>
        <v>1.52621299E9</v>
      </c>
      <c r="L12" s="17" t="n">
        <f>6284980450</f>
        <v>6.28498045E9</v>
      </c>
      <c r="M12" s="35" t="n">
        <f>5503295450</f>
        <v>5.50329545E9</v>
      </c>
      <c r="N12" s="17" t="n">
        <f>8407507440</f>
        <v>8.40750744E9</v>
      </c>
      <c r="O12" s="35" t="n">
        <f>7029508440</f>
        <v>7.02950844E9</v>
      </c>
    </row>
    <row r="13" spans="1:15" ht="24.9" customHeight="1">
      <c r="A13" s="38"/>
      <c r="B13" s="62"/>
      <c r="C13" s="20" t="s">
        <v>16</v>
      </c>
      <c r="D13" s="21" t="n">
        <f>3988</f>
        <v>3988.0</v>
      </c>
      <c r="E13" s="36" t="n">
        <f>1544</f>
        <v>1544.0</v>
      </c>
      <c r="F13" s="21" t="n">
        <f>3385</f>
        <v>3385.0</v>
      </c>
      <c r="G13" s="36" t="n">
        <f>1560</f>
        <v>1560.0</v>
      </c>
      <c r="H13" s="21" t="n">
        <f>7373</f>
        <v>7373.0</v>
      </c>
      <c r="I13" s="36" t="n">
        <f>3104</f>
        <v>3104.0</v>
      </c>
      <c r="J13" s="21" t="n">
        <f>1846085450</f>
        <v>1.84608545E9</v>
      </c>
      <c r="K13" s="36" t="n">
        <f>1050147450</f>
        <v>1.05014745E9</v>
      </c>
      <c r="L13" s="21" t="n">
        <f>3012872630</f>
        <v>3.01287263E9</v>
      </c>
      <c r="M13" s="36" t="n">
        <f>2044392630</f>
        <v>2.04439263E9</v>
      </c>
      <c r="N13" s="21" t="n">
        <f>4858958080</f>
        <v>4.85895808E9</v>
      </c>
      <c r="O13" s="36" t="n">
        <f>3094540080</f>
        <v>3.09454008E9</v>
      </c>
    </row>
    <row r="14" spans="1:15" ht="24.9" customHeight="1">
      <c r="A14" s="38"/>
      <c r="B14" s="62"/>
      <c r="C14" s="20" t="s">
        <v>17</v>
      </c>
      <c r="D14" s="21" t="n">
        <f>30613</f>
        <v>30613.0</v>
      </c>
      <c r="E14" s="36" t="n">
        <f>26647</f>
        <v>26647.0</v>
      </c>
      <c r="F14" s="21" t="n">
        <f>8443</f>
        <v>8443.0</v>
      </c>
      <c r="G14" s="36" t="n">
        <f>6526</f>
        <v>6526.0</v>
      </c>
      <c r="H14" s="21" t="n">
        <f>39056</f>
        <v>39056.0</v>
      </c>
      <c r="I14" s="36" t="n">
        <f>33173</f>
        <v>33173.0</v>
      </c>
      <c r="J14" s="21" t="n">
        <f>25542581644</f>
        <v>2.5542581644E10</v>
      </c>
      <c r="K14" s="36" t="n">
        <f>24397519644</f>
        <v>2.4397519644E10</v>
      </c>
      <c r="L14" s="21" t="n">
        <f>20026916660</f>
        <v>2.002691666E10</v>
      </c>
      <c r="M14" s="36" t="n">
        <f>19030337660</f>
        <v>1.903033766E10</v>
      </c>
      <c r="N14" s="21" t="n">
        <f>45569498304</f>
        <v>4.5569498304E10</v>
      </c>
      <c r="O14" s="36" t="n">
        <f>43427857304</f>
        <v>4.3427857304E10</v>
      </c>
    </row>
    <row r="15" spans="1:15" ht="24.9" customHeight="1">
      <c r="A15" s="38"/>
      <c r="B15" s="62"/>
      <c r="C15" s="24" t="s">
        <v>18</v>
      </c>
      <c r="D15" s="25" t="n">
        <f>40242</f>
        <v>40242.0</v>
      </c>
      <c r="E15" s="37" t="n">
        <f>31921</f>
        <v>31921.0</v>
      </c>
      <c r="F15" s="25" t="n">
        <f>15285</f>
        <v>15285.0</v>
      </c>
      <c r="G15" s="37" t="n">
        <f>9589</f>
        <v>9589.0</v>
      </c>
      <c r="H15" s="25" t="n">
        <f>55527</f>
        <v>55527.0</v>
      </c>
      <c r="I15" s="37" t="n">
        <f>41510</f>
        <v>41510.0</v>
      </c>
      <c r="J15" s="25" t="n">
        <f>29511194084</f>
        <v>2.9511194084E10</v>
      </c>
      <c r="K15" s="37" t="n">
        <f>26973880084</f>
        <v>2.6973880084E10</v>
      </c>
      <c r="L15" s="25" t="n">
        <f>29324769740</f>
        <v>2.932476974E10</v>
      </c>
      <c r="M15" s="37" t="n">
        <f>26578025740</f>
        <v>2.657802574E10</v>
      </c>
      <c r="N15" s="25" t="n">
        <f>58835963824</f>
        <v>5.8835963824E10</v>
      </c>
      <c r="O15" s="37" t="n">
        <f>53551905824</f>
        <v>5.3551905824E10</v>
      </c>
    </row>
    <row r="16" spans="1:15" ht="24.9" customHeight="1">
      <c r="A16" s="38"/>
      <c r="B16" s="61" t="s">
        <v>105</v>
      </c>
      <c r="C16" s="16" t="s">
        <v>15</v>
      </c>
      <c r="D16" s="17" t="n">
        <f>14300</f>
        <v>14300.0</v>
      </c>
      <c r="E16" s="35" t="n">
        <f>2420</f>
        <v>2420.0</v>
      </c>
      <c r="F16" s="17" t="n">
        <f>6352</f>
        <v>6352.0</v>
      </c>
      <c r="G16" s="35" t="n">
        <f>540</f>
        <v>540.0</v>
      </c>
      <c r="H16" s="17" t="n">
        <f>20652</f>
        <v>20652.0</v>
      </c>
      <c r="I16" s="35" t="n">
        <f>2960</f>
        <v>2960.0</v>
      </c>
      <c r="J16" s="17" t="n">
        <f>225708530</f>
        <v>2.2570853E8</v>
      </c>
      <c r="K16" s="35" t="n">
        <f>9371030</f>
        <v>9371030.0</v>
      </c>
      <c r="L16" s="17" t="n">
        <f>267778480</f>
        <v>2.6777848E8</v>
      </c>
      <c r="M16" s="35" t="n">
        <f>13376680</f>
        <v>1.337668E7</v>
      </c>
      <c r="N16" s="17" t="n">
        <f>493487010</f>
        <v>4.9348701E8</v>
      </c>
      <c r="O16" s="35" t="n">
        <f>22747710</f>
        <v>2.274771E7</v>
      </c>
    </row>
    <row r="17" spans="1:15" ht="24.9" customHeight="1">
      <c r="A17" s="38"/>
      <c r="B17" s="62"/>
      <c r="C17" s="20" t="s">
        <v>16</v>
      </c>
      <c r="D17" s="21" t="n">
        <f>12501</f>
        <v>12501.0</v>
      </c>
      <c r="E17" s="36" t="n">
        <f>950</f>
        <v>950.0</v>
      </c>
      <c r="F17" s="21" t="n">
        <f>3972</f>
        <v>3972.0</v>
      </c>
      <c r="G17" s="36" t="n">
        <f>170</f>
        <v>170.0</v>
      </c>
      <c r="H17" s="21" t="n">
        <f>16473</f>
        <v>16473.0</v>
      </c>
      <c r="I17" s="36" t="n">
        <f>1120</f>
        <v>1120.0</v>
      </c>
      <c r="J17" s="21" t="n">
        <f>156528750</f>
        <v>1.5652875E8</v>
      </c>
      <c r="K17" s="36" t="n">
        <f>4758750</f>
        <v>4758750.0</v>
      </c>
      <c r="L17" s="21" t="n">
        <f>136978530</f>
        <v>1.3697853E8</v>
      </c>
      <c r="M17" s="36" t="n">
        <f>3599930</f>
        <v>3599930.0</v>
      </c>
      <c r="N17" s="21" t="n">
        <f>293507280</f>
        <v>2.9350728E8</v>
      </c>
      <c r="O17" s="36" t="n">
        <f>8358680</f>
        <v>8358680.0</v>
      </c>
    </row>
    <row r="18" spans="1:15" ht="24.9" customHeight="1">
      <c r="A18" s="38"/>
      <c r="B18" s="62"/>
      <c r="C18" s="20" t="s">
        <v>17</v>
      </c>
      <c r="D18" s="21" t="n">
        <f>8826</f>
        <v>8826.0</v>
      </c>
      <c r="E18" s="36" t="n">
        <f>800</f>
        <v>800.0</v>
      </c>
      <c r="F18" s="21" t="n">
        <f>6370</f>
        <v>6370.0</v>
      </c>
      <c r="G18" s="36" t="n">
        <f>820</f>
        <v>820.0</v>
      </c>
      <c r="H18" s="21" t="n">
        <f>15196</f>
        <v>15196.0</v>
      </c>
      <c r="I18" s="36" t="n">
        <f>1620</f>
        <v>1620.0</v>
      </c>
      <c r="J18" s="21" t="n">
        <f>165598170</f>
        <v>1.6559817E8</v>
      </c>
      <c r="K18" s="36" t="n">
        <f>3187370</f>
        <v>3187370.0</v>
      </c>
      <c r="L18" s="21" t="n">
        <f>234580300</f>
        <v>2.345803E8</v>
      </c>
      <c r="M18" s="36" t="n">
        <f>7704200</f>
        <v>7704200.0</v>
      </c>
      <c r="N18" s="21" t="n">
        <f>400178470</f>
        <v>4.0017847E8</v>
      </c>
      <c r="O18" s="36" t="n">
        <f>10891570</f>
        <v>1.089157E7</v>
      </c>
    </row>
    <row r="19" spans="1:15" ht="24.9" customHeight="1">
      <c r="A19" s="38"/>
      <c r="B19" s="62"/>
      <c r="C19" s="24" t="s">
        <v>18</v>
      </c>
      <c r="D19" s="25" t="n">
        <f>35627</f>
        <v>35627.0</v>
      </c>
      <c r="E19" s="37" t="n">
        <f>4170</f>
        <v>4170.0</v>
      </c>
      <c r="F19" s="25" t="n">
        <f>16694</f>
        <v>16694.0</v>
      </c>
      <c r="G19" s="37" t="n">
        <f>1530</f>
        <v>1530.0</v>
      </c>
      <c r="H19" s="25" t="n">
        <f>52321</f>
        <v>52321.0</v>
      </c>
      <c r="I19" s="37" t="n">
        <f>5700</f>
        <v>5700.0</v>
      </c>
      <c r="J19" s="25" t="n">
        <f>547835450</f>
        <v>5.4783545E8</v>
      </c>
      <c r="K19" s="37" t="n">
        <f>17317150</f>
        <v>1.731715E7</v>
      </c>
      <c r="L19" s="25" t="n">
        <f>639337310</f>
        <v>6.3933731E8</v>
      </c>
      <c r="M19" s="37" t="n">
        <f>24680810</f>
        <v>2.468081E7</v>
      </c>
      <c r="N19" s="25" t="n">
        <f>1187172760</f>
        <v>1.18717276E9</v>
      </c>
      <c r="O19" s="37" t="n">
        <f>41997960</f>
        <v>4.199796E7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400</f>
        <v>400.0</v>
      </c>
      <c r="G21" s="36" t="n">
        <f>400</f>
        <v>400.0</v>
      </c>
      <c r="H21" s="21" t="n">
        <f>400</f>
        <v>400.0</v>
      </c>
      <c r="I21" s="36" t="n">
        <f>400</f>
        <v>400.0</v>
      </c>
      <c r="J21" s="21" t="n">
        <f>0</f>
        <v>0.0</v>
      </c>
      <c r="K21" s="36" t="n">
        <f>0</f>
        <v>0.0</v>
      </c>
      <c r="L21" s="21" t="n">
        <f>605000000</f>
        <v>6.05E8</v>
      </c>
      <c r="M21" s="36" t="n">
        <f>605000000</f>
        <v>6.05E8</v>
      </c>
      <c r="N21" s="21" t="n">
        <f>605000000</f>
        <v>6.05E8</v>
      </c>
      <c r="O21" s="36" t="n">
        <f>605000000</f>
        <v>6.05E8</v>
      </c>
    </row>
    <row r="22" spans="1:15" ht="24.9" customHeight="1">
      <c r="A22" s="38"/>
      <c r="B22" s="62"/>
      <c r="C22" s="20" t="s">
        <v>17</v>
      </c>
      <c r="D22" s="21" t="n">
        <f>530</f>
        <v>530.0</v>
      </c>
      <c r="E22" s="36" t="n">
        <f>530</f>
        <v>530.0</v>
      </c>
      <c r="F22" s="21" t="n">
        <f>130</f>
        <v>130.0</v>
      </c>
      <c r="G22" s="36" t="n">
        <f>130</f>
        <v>130.0</v>
      </c>
      <c r="H22" s="21" t="n">
        <f>660</f>
        <v>660.0</v>
      </c>
      <c r="I22" s="36" t="n">
        <f>660</f>
        <v>660.0</v>
      </c>
      <c r="J22" s="21" t="n">
        <f>445462000</f>
        <v>4.45462E8</v>
      </c>
      <c r="K22" s="36" t="n">
        <f>445462000</f>
        <v>4.45462E8</v>
      </c>
      <c r="L22" s="21" t="n">
        <f>442338000</f>
        <v>4.42338E8</v>
      </c>
      <c r="M22" s="36" t="n">
        <f>442338000</f>
        <v>4.42338E8</v>
      </c>
      <c r="N22" s="21" t="n">
        <f>887800000</f>
        <v>8.878E8</v>
      </c>
      <c r="O22" s="36" t="n">
        <f>887800000</f>
        <v>8.878E8</v>
      </c>
    </row>
    <row r="23" spans="1:15" ht="24.9" customHeight="1">
      <c r="A23" s="38"/>
      <c r="B23" s="62"/>
      <c r="C23" s="24" t="s">
        <v>18</v>
      </c>
      <c r="D23" s="25" t="n">
        <f>530</f>
        <v>530.0</v>
      </c>
      <c r="E23" s="37" t="n">
        <f>530</f>
        <v>530.0</v>
      </c>
      <c r="F23" s="25" t="n">
        <f>530</f>
        <v>530.0</v>
      </c>
      <c r="G23" s="37" t="n">
        <f>530</f>
        <v>530.0</v>
      </c>
      <c r="H23" s="25" t="n">
        <f>1060</f>
        <v>1060.0</v>
      </c>
      <c r="I23" s="37" t="n">
        <f>1060</f>
        <v>1060.0</v>
      </c>
      <c r="J23" s="25" t="n">
        <f>445462000</f>
        <v>4.45462E8</v>
      </c>
      <c r="K23" s="37" t="n">
        <f>445462000</f>
        <v>4.45462E8</v>
      </c>
      <c r="L23" s="25" t="n">
        <f>1047338000</f>
        <v>1.047338E9</v>
      </c>
      <c r="M23" s="37" t="n">
        <f>1047338000</f>
        <v>1.047338E9</v>
      </c>
      <c r="N23" s="25" t="n">
        <f>1492800000</f>
        <v>1.4928E9</v>
      </c>
      <c r="O23" s="37" t="n">
        <f>1492800000</f>
        <v>1.4928E9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15</f>
        <v>15.0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15</f>
        <v>15.0</v>
      </c>
      <c r="I36" s="18" t="n">
        <f>0</f>
        <v>0.0</v>
      </c>
      <c r="J36" s="17" t="n">
        <f>6000000</f>
        <v>6000000.0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6000000</f>
        <v>6000000.0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0</f>
        <v>0.0</v>
      </c>
      <c r="G37" s="22" t="n">
        <f>0</f>
        <v>0.0</v>
      </c>
      <c r="H37" s="21" t="n">
        <f>0</f>
        <v>0.0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0</f>
        <v>0.0</v>
      </c>
      <c r="M37" s="22" t="n">
        <f>0</f>
        <v>0.0</v>
      </c>
      <c r="N37" s="21" t="n">
        <f>0</f>
        <v>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335</f>
        <v>335.0</v>
      </c>
      <c r="E38" s="36" t="n">
        <f>305</f>
        <v>305.0</v>
      </c>
      <c r="F38" s="21" t="n">
        <f>177</f>
        <v>177.0</v>
      </c>
      <c r="G38" s="36" t="n">
        <f>80</f>
        <v>80.0</v>
      </c>
      <c r="H38" s="21" t="n">
        <f>512</f>
        <v>512.0</v>
      </c>
      <c r="I38" s="36" t="n">
        <f>385</f>
        <v>385.0</v>
      </c>
      <c r="J38" s="21" t="n">
        <f>57400000</f>
        <v>5.74E7</v>
      </c>
      <c r="K38" s="36" t="n">
        <f>50350000</f>
        <v>5.035E7</v>
      </c>
      <c r="L38" s="21" t="n">
        <f>48220000</f>
        <v>4.822E7</v>
      </c>
      <c r="M38" s="36" t="n">
        <f>21600000</f>
        <v>2.16E7</v>
      </c>
      <c r="N38" s="21" t="n">
        <f>105620000</f>
        <v>1.0562E8</v>
      </c>
      <c r="O38" s="36" t="n">
        <f>71950000</f>
        <v>7.195E7</v>
      </c>
    </row>
    <row r="39" spans="1:15" ht="24.9" customHeight="1">
      <c r="A39" s="38"/>
      <c r="B39" s="62"/>
      <c r="C39" s="24" t="s">
        <v>18</v>
      </c>
      <c r="D39" s="25" t="n">
        <f>350</f>
        <v>350.0</v>
      </c>
      <c r="E39" s="37" t="n">
        <f>305</f>
        <v>305.0</v>
      </c>
      <c r="F39" s="25" t="n">
        <f>177</f>
        <v>177.0</v>
      </c>
      <c r="G39" s="37" t="n">
        <f>80</f>
        <v>80.0</v>
      </c>
      <c r="H39" s="25" t="n">
        <f>527</f>
        <v>527.0</v>
      </c>
      <c r="I39" s="37" t="n">
        <f>385</f>
        <v>385.0</v>
      </c>
      <c r="J39" s="25" t="n">
        <f>63400000</f>
        <v>6.34E7</v>
      </c>
      <c r="K39" s="37" t="n">
        <f>50350000</f>
        <v>5.035E7</v>
      </c>
      <c r="L39" s="25" t="n">
        <f>48220000</f>
        <v>4.822E7</v>
      </c>
      <c r="M39" s="37" t="n">
        <f>21600000</f>
        <v>2.16E7</v>
      </c>
      <c r="N39" s="25" t="n">
        <f>111620000</f>
        <v>1.1162E8</v>
      </c>
      <c r="O39" s="37" t="n">
        <f>71950000</f>
        <v>7.195E7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2828</f>
        <v>2828.0</v>
      </c>
      <c r="E41" s="36" t="n">
        <f>700</f>
        <v>700.0</v>
      </c>
      <c r="F41" s="21" t="n">
        <f>1513</f>
        <v>1513.0</v>
      </c>
      <c r="G41" s="36" t="n">
        <f>700</f>
        <v>700.0</v>
      </c>
      <c r="H41" s="21" t="n">
        <f>4341</f>
        <v>4341.0</v>
      </c>
      <c r="I41" s="36" t="n">
        <f>1400</f>
        <v>1400.0</v>
      </c>
      <c r="J41" s="21" t="n">
        <f>48544217</f>
        <v>4.8544217E7</v>
      </c>
      <c r="K41" s="36" t="n">
        <f>35700000</f>
        <v>3.57E7</v>
      </c>
      <c r="L41" s="21" t="n">
        <f>98602120</f>
        <v>9.860212E7</v>
      </c>
      <c r="M41" s="36" t="n">
        <f>42000000</f>
        <v>4.2E7</v>
      </c>
      <c r="N41" s="21" t="n">
        <f>147146337</f>
        <v>1.47146337E8</v>
      </c>
      <c r="O41" s="36" t="n">
        <f>77700000</f>
        <v>7.77E7</v>
      </c>
    </row>
    <row r="42" spans="1:15" ht="24.9" customHeight="1">
      <c r="A42" s="38"/>
      <c r="B42" s="62"/>
      <c r="C42" s="20" t="s">
        <v>17</v>
      </c>
      <c r="D42" s="21" t="n">
        <f>2013</f>
        <v>2013.0</v>
      </c>
      <c r="E42" s="36" t="n">
        <f>1000</f>
        <v>1000.0</v>
      </c>
      <c r="F42" s="21" t="n">
        <f>1387</f>
        <v>1387.0</v>
      </c>
      <c r="G42" s="36" t="n">
        <f>0</f>
        <v>0.0</v>
      </c>
      <c r="H42" s="21" t="n">
        <f>3400</f>
        <v>3400.0</v>
      </c>
      <c r="I42" s="36" t="n">
        <f>1000</f>
        <v>1000.0</v>
      </c>
      <c r="J42" s="21" t="n">
        <f>15391122</f>
        <v>1.5391122E7</v>
      </c>
      <c r="K42" s="36" t="n">
        <f>10110000</f>
        <v>1.011E7</v>
      </c>
      <c r="L42" s="21" t="n">
        <f>7813997</f>
        <v>7813997.0</v>
      </c>
      <c r="M42" s="36" t="n">
        <f>0</f>
        <v>0.0</v>
      </c>
      <c r="N42" s="21" t="n">
        <f>23205119</f>
        <v>2.3205119E7</v>
      </c>
      <c r="O42" s="36" t="n">
        <f>10110000</f>
        <v>1.011E7</v>
      </c>
    </row>
    <row r="43" spans="1:15" ht="24.9" customHeight="1">
      <c r="A43" s="38"/>
      <c r="B43" s="62"/>
      <c r="C43" s="24" t="s">
        <v>18</v>
      </c>
      <c r="D43" s="25" t="n">
        <f>4841</f>
        <v>4841.0</v>
      </c>
      <c r="E43" s="37" t="n">
        <f>1700</f>
        <v>1700.0</v>
      </c>
      <c r="F43" s="25" t="n">
        <f>2900</f>
        <v>2900.0</v>
      </c>
      <c r="G43" s="37" t="n">
        <f>700</f>
        <v>700.0</v>
      </c>
      <c r="H43" s="25" t="n">
        <f>7741</f>
        <v>7741.0</v>
      </c>
      <c r="I43" s="37" t="n">
        <f>2400</f>
        <v>2400.0</v>
      </c>
      <c r="J43" s="25" t="n">
        <f>63935339</f>
        <v>6.3935339E7</v>
      </c>
      <c r="K43" s="37" t="n">
        <f>45810000</f>
        <v>4.581E7</v>
      </c>
      <c r="L43" s="25" t="n">
        <f>106416117</f>
        <v>1.06416117E8</v>
      </c>
      <c r="M43" s="37" t="n">
        <f>42000000</f>
        <v>4.2E7</v>
      </c>
      <c r="N43" s="25" t="n">
        <f>170351456</f>
        <v>1.70351456E8</v>
      </c>
      <c r="O43" s="37" t="n">
        <f>87810000</f>
        <v>8.781E7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