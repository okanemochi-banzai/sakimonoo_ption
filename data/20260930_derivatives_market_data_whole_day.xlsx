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<sst xmlns="http://schemas.openxmlformats.org/spreadsheetml/2006/main" count="528" uniqueCount="129">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</sst>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DATE(2026,09,30)</f>
        <v>46295.0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DATE(2026,09,30)</f>
        <v>46295.0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752848.0</f>
        <v>752848.0</v>
      </c>
      <c r="E12" s="18" t="n">
        <f>30928.0</f>
        <v>30928.0</v>
      </c>
      <c r="F12" s="19" t="n">
        <f>1.0</f>
        <v>1.0</v>
      </c>
      <c r="G12" s="17" t="n">
        <f>5105804999635.0</f>
        <v>5.105804999635E12</v>
      </c>
      <c r="H12" s="18" t="n">
        <f>292202995235.0</f>
        <v>2.92202995235E11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379574.0</f>
        <v>379574.0</v>
      </c>
      <c r="E13" s="22" t="n">
        <f>17660.0</f>
        <v>17660.0</v>
      </c>
      <c r="F13" s="23" t="n">
        <f>1.0</f>
        <v>1.0</v>
      </c>
      <c r="G13" s="21" t="n">
        <f>3838142261585.0</f>
        <v>3.838142261585E12</v>
      </c>
      <c r="H13" s="22" t="n">
        <f>346231426260.0</f>
        <v>3.4623142626E11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557835.0</f>
        <v>557835.0</v>
      </c>
      <c r="E14" s="22" t="n">
        <f>52238.0</f>
        <v>52238.0</v>
      </c>
      <c r="F14" s="23" t="n">
        <f>1.0</f>
        <v>1.0</v>
      </c>
      <c r="G14" s="21" t="n">
        <f>7785854341512.0</f>
        <v>7.785854341512E12</v>
      </c>
      <c r="H14" s="22" t="n">
        <f>1667561892512.0</f>
        <v>1.667561892512E12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1690257.0</f>
        <v>1690257.0</v>
      </c>
      <c r="E15" s="26" t="n">
        <f>100826.0</f>
        <v>100826.0</v>
      </c>
      <c r="F15" s="27" t="n">
        <f>1.0</f>
        <v>1.0</v>
      </c>
      <c r="G15" s="25" t="n">
        <f>16729801602732.0</f>
        <v>1.6729801602732E13</v>
      </c>
      <c r="H15" s="26" t="n">
        <f>2305996314007.0</f>
        <v>2.305996314007E12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13103.0</f>
        <v>13103.0</v>
      </c>
      <c r="E16" s="18" t="n">
        <f>99.0</f>
        <v>99.0</v>
      </c>
      <c r="F16" s="19" t="n">
        <f>0.017</f>
        <v>0.017</v>
      </c>
      <c r="G16" s="17" t="n">
        <f>1447427118750.0</f>
        <v>1.44742711875E12</v>
      </c>
      <c r="H16" s="18" t="n">
        <f>12316300000.0</f>
        <v>1.23163E10</v>
      </c>
      <c r="I16" s="19" t="n">
        <f>0.283</f>
        <v>0.283</v>
      </c>
    </row>
    <row r="17" spans="1:9" ht="24.9" customHeight="1">
      <c r="A17" s="41"/>
      <c r="B17" s="39"/>
      <c r="C17" s="20" t="s">
        <v>16</v>
      </c>
      <c r="D17" s="21" t="n">
        <f>14057.0</f>
        <v>14057.0</v>
      </c>
      <c r="E17" s="22" t="n">
        <f>1438.0</f>
        <v>1438.0</v>
      </c>
      <c r="F17" s="23" t="n">
        <f>0.037</f>
        <v>0.037</v>
      </c>
      <c r="G17" s="21" t="n">
        <f>1497537933875.0</f>
        <v>1.497537933875E12</v>
      </c>
      <c r="H17" s="22" t="n">
        <f>178766775000.0</f>
        <v>1.78766775E11</v>
      </c>
      <c r="I17" s="23" t="n">
        <f>0.39</f>
        <v>0.39</v>
      </c>
    </row>
    <row r="18" spans="1:9" ht="24.9" customHeight="1">
      <c r="A18" s="41"/>
      <c r="B18" s="39"/>
      <c r="C18" s="20" t="s">
        <v>17</v>
      </c>
      <c r="D18" s="21" t="n">
        <f>18959.0</f>
        <v>18959.0</v>
      </c>
      <c r="E18" s="22" t="n">
        <f>1516.0</f>
        <v>1516.0</v>
      </c>
      <c r="F18" s="23" t="n">
        <f>0.034</f>
        <v>0.034</v>
      </c>
      <c r="G18" s="21" t="n">
        <f>2180236234750.0</f>
        <v>2.18023623475E12</v>
      </c>
      <c r="H18" s="22" t="n">
        <f>188643290000.0</f>
        <v>1.8864329E11</v>
      </c>
      <c r="I18" s="23" t="n">
        <f>0.28</f>
        <v>0.28</v>
      </c>
    </row>
    <row r="19" spans="1:9" ht="24.9" customHeight="1">
      <c r="A19" s="41"/>
      <c r="B19" s="39"/>
      <c r="C19" s="24" t="s">
        <v>18</v>
      </c>
      <c r="D19" s="25" t="n">
        <f>46119.0</f>
        <v>46119.0</v>
      </c>
      <c r="E19" s="26" t="n">
        <f>3053.0</f>
        <v>3053.0</v>
      </c>
      <c r="F19" s="27" t="n">
        <f>0.027</f>
        <v>0.027</v>
      </c>
      <c r="G19" s="25" t="n">
        <f>5125201287375.0</f>
        <v>5.125201287375E12</v>
      </c>
      <c r="H19" s="26" t="n">
        <f>379726365000.0</f>
        <v>3.79726365E11</v>
      </c>
      <c r="I19" s="27" t="n">
        <f>0.306</f>
        <v>0.306</v>
      </c>
    </row>
    <row r="20" spans="1:9" ht="24.9" customHeight="1">
      <c r="A20" s="41"/>
      <c r="B20" s="39" t="s">
        <v>21</v>
      </c>
      <c r="C20" s="16" t="s">
        <v>15</v>
      </c>
      <c r="D20" s="17" t="n">
        <f>726911.0</f>
        <v>726911.0</v>
      </c>
      <c r="E20" s="18" t="n">
        <f>30829.0</f>
        <v>30829.0</v>
      </c>
      <c r="F20" s="19" t="n">
        <f>0.966</f>
        <v>0.966</v>
      </c>
      <c r="G20" s="17" t="n">
        <f>3531067798885.0</f>
        <v>3.531067798885E12</v>
      </c>
      <c r="H20" s="18" t="n">
        <f>279886695235.0</f>
        <v>2.79886695235E11</v>
      </c>
      <c r="I20" s="19" t="n">
        <f>0.692</f>
        <v>0.692</v>
      </c>
    </row>
    <row r="21" spans="1:9" ht="24.9" customHeight="1">
      <c r="A21" s="41"/>
      <c r="B21" s="39"/>
      <c r="C21" s="20" t="s">
        <v>16</v>
      </c>
      <c r="D21" s="21" t="n">
        <f>359491.0</f>
        <v>359491.0</v>
      </c>
      <c r="E21" s="22" t="n">
        <f>16211.0</f>
        <v>16211.0</v>
      </c>
      <c r="F21" s="23" t="n">
        <f>0.947</f>
        <v>0.947</v>
      </c>
      <c r="G21" s="21" t="n">
        <f>2284867171410.0</f>
        <v>2.28486717141E12</v>
      </c>
      <c r="H21" s="22" t="n">
        <f>167262433760.0</f>
        <v>1.6726243376E11</v>
      </c>
      <c r="I21" s="23" t="n">
        <f>0.595</f>
        <v>0.595</v>
      </c>
    </row>
    <row r="22" spans="1:9" ht="24.9" customHeight="1">
      <c r="A22" s="41"/>
      <c r="B22" s="39"/>
      <c r="C22" s="20" t="s">
        <v>17</v>
      </c>
      <c r="D22" s="21" t="n">
        <f>530337.0</f>
        <v>530337.0</v>
      </c>
      <c r="E22" s="22" t="n">
        <f>50708.0</f>
        <v>50708.0</v>
      </c>
      <c r="F22" s="23" t="n">
        <f>0.951</f>
        <v>0.951</v>
      </c>
      <c r="G22" s="21" t="n">
        <f>5546094720112.0</f>
        <v>5.546094720112E12</v>
      </c>
      <c r="H22" s="22" t="n">
        <f>1478773882512.0</f>
        <v>1.478773882512E12</v>
      </c>
      <c r="I22" s="23" t="n">
        <f>0.712</f>
        <v>0.712</v>
      </c>
    </row>
    <row r="23" spans="1:9" ht="24.9" customHeight="1">
      <c r="A23" s="41"/>
      <c r="B23" s="39"/>
      <c r="C23" s="24" t="s">
        <v>18</v>
      </c>
      <c r="D23" s="25" t="n">
        <f>1616739.0</f>
        <v>1616739.0</v>
      </c>
      <c r="E23" s="26" t="n">
        <f>97748.0</f>
        <v>97748.0</v>
      </c>
      <c r="F23" s="27" t="n">
        <f>0.957</f>
        <v>0.957</v>
      </c>
      <c r="G23" s="25" t="n">
        <f>11362029690407.0</f>
        <v>1.1362029690407E13</v>
      </c>
      <c r="H23" s="26" t="n">
        <f>1925923011507.0</f>
        <v>1.925923011507E12</v>
      </c>
      <c r="I23" s="27" t="n">
        <f>0.679</f>
        <v>0.679</v>
      </c>
    </row>
    <row r="24" spans="1:9" ht="24.9" customHeight="1">
      <c r="A24" s="41"/>
      <c r="B24" s="39" t="s">
        <v>22</v>
      </c>
      <c r="C24" s="16" t="s">
        <v>15</v>
      </c>
      <c r="D24" s="17" t="n">
        <f>12647.0</f>
        <v>12647.0</v>
      </c>
      <c r="E24" s="18" t="n">
        <f>0.0</f>
        <v>0.0</v>
      </c>
      <c r="F24" s="19" t="n">
        <f>0.017</f>
        <v>0.017</v>
      </c>
      <c r="G24" s="17" t="n">
        <f>126489609500.0</f>
        <v>1.264896095E11</v>
      </c>
      <c r="H24" s="18" t="n">
        <f>0.0</f>
        <v>0.0</v>
      </c>
      <c r="I24" s="19" t="n">
        <f>0.025</f>
        <v>0.025</v>
      </c>
    </row>
    <row r="25" spans="1:9" ht="24.9" customHeight="1">
      <c r="A25" s="41"/>
      <c r="B25" s="39"/>
      <c r="C25" s="20" t="s">
        <v>16</v>
      </c>
      <c r="D25" s="21" t="n">
        <f>5889.0</f>
        <v>5889.0</v>
      </c>
      <c r="E25" s="22" t="n">
        <f>11.0</f>
        <v>11.0</v>
      </c>
      <c r="F25" s="23" t="n">
        <f>0.016</f>
        <v>0.016</v>
      </c>
      <c r="G25" s="21" t="n">
        <f>55142120800.0</f>
        <v>5.51421208E10</v>
      </c>
      <c r="H25" s="22" t="n">
        <f>202217500.0</f>
        <v>2.022175E8</v>
      </c>
      <c r="I25" s="23" t="n">
        <f>0.014</f>
        <v>0.014</v>
      </c>
    </row>
    <row r="26" spans="1:9" ht="24.9" customHeight="1">
      <c r="A26" s="41"/>
      <c r="B26" s="39"/>
      <c r="C26" s="20" t="s">
        <v>17</v>
      </c>
      <c r="D26" s="21" t="n">
        <f>6843.0</f>
        <v>6843.0</v>
      </c>
      <c r="E26" s="22" t="n">
        <f>14.0</f>
        <v>14.0</v>
      </c>
      <c r="F26" s="23" t="n">
        <f>0.012</f>
        <v>0.012</v>
      </c>
      <c r="G26" s="21" t="n">
        <f>52120403150.0</f>
        <v>5.212040315E10</v>
      </c>
      <c r="H26" s="22" t="n">
        <f>144720000.0</f>
        <v>1.4472E8</v>
      </c>
      <c r="I26" s="23" t="n">
        <f>0.007</f>
        <v>0.007</v>
      </c>
    </row>
    <row r="27" spans="1:9" ht="24.9" customHeight="1">
      <c r="A27" s="42"/>
      <c r="B27" s="39"/>
      <c r="C27" s="24" t="s">
        <v>18</v>
      </c>
      <c r="D27" s="25" t="n">
        <f>25379.0</f>
        <v>25379.0</v>
      </c>
      <c r="E27" s="26" t="n">
        <f>25.0</f>
        <v>25.0</v>
      </c>
      <c r="F27" s="27" t="n">
        <f>0.015</f>
        <v>0.015</v>
      </c>
      <c r="G27" s="25" t="n">
        <f>233752133450.0</f>
        <v>2.3375213345E11</v>
      </c>
      <c r="H27" s="26" t="n">
        <f>346937500.0</f>
        <v>3.469375E8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187.0</f>
        <v>187.0</v>
      </c>
      <c r="E28" s="18" t="n">
        <f>0.0</f>
        <v>0.0</v>
      </c>
      <c r="F28" s="19" t="n">
        <f>0.0</f>
        <v>0.0</v>
      </c>
      <c r="G28" s="17" t="n">
        <f>820472500.0</f>
        <v>8.204725E8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137.0</f>
        <v>137.0</v>
      </c>
      <c r="E29" s="22" t="n">
        <f>0.0</f>
        <v>0.0</v>
      </c>
      <c r="F29" s="23" t="n">
        <f>0.0</f>
        <v>0.0</v>
      </c>
      <c r="G29" s="21" t="n">
        <f>595035500.0</f>
        <v>5.950355E8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1696.0</f>
        <v>1696.0</v>
      </c>
      <c r="E30" s="22" t="n">
        <f>0.0</f>
        <v>0.0</v>
      </c>
      <c r="F30" s="23" t="n">
        <f>0.003</f>
        <v>0.003</v>
      </c>
      <c r="G30" s="21" t="n">
        <f>7402983500.0</f>
        <v>7.4029835E9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2020.0</f>
        <v>2020.0</v>
      </c>
      <c r="E31" s="26" t="n">
        <f>0.0</f>
        <v>0.0</v>
      </c>
      <c r="F31" s="27" t="n">
        <f>0.001</f>
        <v>0.001</v>
      </c>
      <c r="G31" s="25" t="n">
        <f>8818491500.0</f>
        <v>8.8184915E9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46295.0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46295.0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22078</f>
        <v>22078.0</v>
      </c>
      <c r="E11" s="18" t="n">
        <f>4837</f>
        <v>4837.0</v>
      </c>
      <c r="F11" s="19" t="n">
        <f>1</f>
        <v>1.0</v>
      </c>
      <c r="G11" s="17" t="n">
        <f>1872300730</f>
        <v>1.87230073E9</v>
      </c>
      <c r="H11" s="18" t="n">
        <f>802432430</f>
        <v>8.0243243E8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25178</f>
        <v>25178.0</v>
      </c>
      <c r="E12" s="22" t="n">
        <f>5550</f>
        <v>5550.0</v>
      </c>
      <c r="F12" s="23" t="n">
        <f>1</f>
        <v>1.0</v>
      </c>
      <c r="G12" s="21" t="n">
        <f>4230118324</f>
        <v>4.230118324E9</v>
      </c>
      <c r="H12" s="22" t="n">
        <f>3334194070</f>
        <v>3.33419407E9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50031</f>
        <v>50031.0</v>
      </c>
      <c r="E13" s="22" t="n">
        <f>21072</f>
        <v>21072.0</v>
      </c>
      <c r="F13" s="23" t="n">
        <f>1</f>
        <v>1.0</v>
      </c>
      <c r="G13" s="21" t="n">
        <f>21609397453</f>
        <v>2.1609397453E10</v>
      </c>
      <c r="H13" s="22" t="n">
        <f>18292087508</f>
        <v>1.8292087508E10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97287</f>
        <v>97287.0</v>
      </c>
      <c r="E14" s="26" t="n">
        <f>31459</f>
        <v>31459.0</v>
      </c>
      <c r="F14" s="27" t="n">
        <f>1</f>
        <v>1.0</v>
      </c>
      <c r="G14" s="25" t="n">
        <f>27711816507</f>
        <v>2.7711816507E10</v>
      </c>
      <c r="H14" s="26" t="n">
        <f>22428714008</f>
        <v>2.2428714008E10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50</f>
        <v>50.0</v>
      </c>
      <c r="E15" s="18" t="n">
        <f>50</f>
        <v>50.0</v>
      </c>
      <c r="F15" s="19" t="n">
        <f>0.002</f>
        <v>0.002</v>
      </c>
      <c r="G15" s="17" t="n">
        <f>19500000</f>
        <v>1.95E7</v>
      </c>
      <c r="H15" s="18" t="n">
        <f>19500000</f>
        <v>1.95E7</v>
      </c>
      <c r="I15" s="19" t="n">
        <f>0.01</f>
        <v>0.01</v>
      </c>
    </row>
    <row r="16" spans="1:9" ht="24.9" customHeight="1">
      <c r="A16" s="41"/>
      <c r="B16" s="39"/>
      <c r="C16" s="20" t="s">
        <v>16</v>
      </c>
      <c r="D16" s="21" t="n">
        <f>168</f>
        <v>168.0</v>
      </c>
      <c r="E16" s="22" t="n">
        <f>67</f>
        <v>67.0</v>
      </c>
      <c r="F16" s="23" t="n">
        <f>0.007</f>
        <v>0.007</v>
      </c>
      <c r="G16" s="21" t="n">
        <f>26320000</f>
        <v>2.632E7</v>
      </c>
      <c r="H16" s="22" t="n">
        <f>7270000</f>
        <v>7270000.0</v>
      </c>
      <c r="I16" s="23" t="n">
        <f>0.006</f>
        <v>0.006</v>
      </c>
    </row>
    <row r="17" spans="1:9" ht="24.9" customHeight="1">
      <c r="A17" s="41"/>
      <c r="B17" s="39"/>
      <c r="C17" s="20" t="s">
        <v>17</v>
      </c>
      <c r="D17" s="21" t="n">
        <f>349</f>
        <v>349.0</v>
      </c>
      <c r="E17" s="22" t="n">
        <f>0</f>
        <v>0.0</v>
      </c>
      <c r="F17" s="23" t="n">
        <f>0.007</f>
        <v>0.007</v>
      </c>
      <c r="G17" s="21" t="n">
        <f>21250000</f>
        <v>2.125E7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567</f>
        <v>567.0</v>
      </c>
      <c r="E18" s="26" t="n">
        <f>117</f>
        <v>117.0</v>
      </c>
      <c r="F18" s="27" t="n">
        <f>0.006</f>
        <v>0.006</v>
      </c>
      <c r="G18" s="25" t="n">
        <f>67070000</f>
        <v>6.707E7</v>
      </c>
      <c r="H18" s="26" t="n">
        <f>26770000</f>
        <v>2.677E7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22028</f>
        <v>22028.0</v>
      </c>
      <c r="E19" s="18" t="n">
        <f>4787</f>
        <v>4787.0</v>
      </c>
      <c r="F19" s="19" t="n">
        <f>0.998</f>
        <v>0.998</v>
      </c>
      <c r="G19" s="17" t="n">
        <f>1852800730</f>
        <v>1.85280073E9</v>
      </c>
      <c r="H19" s="18" t="n">
        <f>782932430</f>
        <v>7.8293243E8</v>
      </c>
      <c r="I19" s="19" t="n">
        <f>0.99</f>
        <v>0.99</v>
      </c>
    </row>
    <row r="20" spans="1:9" ht="24.9" customHeight="1">
      <c r="A20" s="41"/>
      <c r="B20" s="39"/>
      <c r="C20" s="20" t="s">
        <v>16</v>
      </c>
      <c r="D20" s="21" t="n">
        <f>19679</f>
        <v>19679.0</v>
      </c>
      <c r="E20" s="22" t="n">
        <f>5483</f>
        <v>5483.0</v>
      </c>
      <c r="F20" s="23" t="n">
        <f>0.782</f>
        <v>0.782</v>
      </c>
      <c r="G20" s="21" t="n">
        <f>4181804970</f>
        <v>4.18180497E9</v>
      </c>
      <c r="H20" s="22" t="n">
        <f>3326924070</f>
        <v>3.32692407E9</v>
      </c>
      <c r="I20" s="23" t="n">
        <f>0.989</f>
        <v>0.989</v>
      </c>
    </row>
    <row r="21" spans="1:9" ht="24.9" customHeight="1">
      <c r="A21" s="41"/>
      <c r="B21" s="39"/>
      <c r="C21" s="20" t="s">
        <v>17</v>
      </c>
      <c r="D21" s="21" t="n">
        <f>47001</f>
        <v>47001.0</v>
      </c>
      <c r="E21" s="22" t="n">
        <f>21072</f>
        <v>21072.0</v>
      </c>
      <c r="F21" s="23" t="n">
        <f>0.939</f>
        <v>0.939</v>
      </c>
      <c r="G21" s="21" t="n">
        <f>21568167808</f>
        <v>2.1568167808E10</v>
      </c>
      <c r="H21" s="22" t="n">
        <f>18292087508</f>
        <v>1.8292087508E10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88708</f>
        <v>88708.0</v>
      </c>
      <c r="E22" s="26" t="n">
        <f>31342</f>
        <v>31342.0</v>
      </c>
      <c r="F22" s="27" t="n">
        <f>0.912</f>
        <v>0.912</v>
      </c>
      <c r="G22" s="25" t="n">
        <f>27602773508</f>
        <v>2.7602773508E10</v>
      </c>
      <c r="H22" s="26" t="n">
        <f>22401944008</f>
        <v>2.2401944008E10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5331</f>
        <v>5331.0</v>
      </c>
      <c r="E24" s="22" t="n">
        <f>0</f>
        <v>0.0</v>
      </c>
      <c r="F24" s="23" t="n">
        <f>0.212</f>
        <v>0.212</v>
      </c>
      <c r="G24" s="21" t="n">
        <f>21993354</f>
        <v>2.1993354E7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2681</f>
        <v>2681.0</v>
      </c>
      <c r="E25" s="22" t="n">
        <f>0</f>
        <v>0.0</v>
      </c>
      <c r="F25" s="23" t="n">
        <f>0.054</f>
        <v>0.054</v>
      </c>
      <c r="G25" s="21" t="n">
        <f>19979645</f>
        <v>1.9979645E7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8012</f>
        <v>8012.0</v>
      </c>
      <c r="E26" s="26" t="n">
        <f>0</f>
        <v>0.0</v>
      </c>
      <c r="F26" s="27" t="n">
        <f>0.082</f>
        <v>0.082</v>
      </c>
      <c r="G26" s="25" t="n">
        <f>41972999</f>
        <v>4.1972999E7</v>
      </c>
      <c r="H26" s="26" t="n">
        <f>0</f>
        <v>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46295.0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46295.0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11011.0</v>
      </c>
      <c r="F12" s="18" t="n">
        <f>1218</f>
        <v>1218.0</v>
      </c>
      <c r="G12" s="17" t="n">
        <v>7.27049988E11</v>
      </c>
      <c r="H12" s="18" t="n">
        <f>80478658000</f>
        <v>8.0478658E10</v>
      </c>
    </row>
    <row r="13" spans="1:8" ht="24.9" customHeight="1">
      <c r="A13" s="51"/>
      <c r="B13" s="57"/>
      <c r="C13" s="39"/>
      <c r="D13" s="20" t="s">
        <v>16</v>
      </c>
      <c r="E13" s="21" t="n">
        <v>6875.0</v>
      </c>
      <c r="F13" s="22" t="n">
        <f>470</f>
        <v>470.0</v>
      </c>
      <c r="G13" s="21" t="n">
        <v>4.57210395E11</v>
      </c>
      <c r="H13" s="22" t="n">
        <f>31256495000</f>
        <v>3.1256495E10</v>
      </c>
    </row>
    <row r="14" spans="1:8" ht="24.9" customHeight="1">
      <c r="A14" s="51"/>
      <c r="B14" s="57"/>
      <c r="C14" s="39"/>
      <c r="D14" s="20" t="s">
        <v>17</v>
      </c>
      <c r="E14" s="21" t="n">
        <v>25227.0</v>
      </c>
      <c r="F14" s="22" t="n">
        <f>10099</f>
        <v>10099.0</v>
      </c>
      <c r="G14" s="21" t="n">
        <v>1.68813010019E12</v>
      </c>
      <c r="H14" s="22" t="n">
        <f>675566470190</f>
        <v>6.7556647019E11</v>
      </c>
    </row>
    <row r="15" spans="1:8" ht="24.9" customHeight="1">
      <c r="A15" s="51"/>
      <c r="B15" s="57"/>
      <c r="C15" s="39"/>
      <c r="D15" s="24" t="s">
        <v>18</v>
      </c>
      <c r="E15" s="25" t="n">
        <v>43113.0</v>
      </c>
      <c r="F15" s="26" t="n">
        <f>11787</f>
        <v>11787.0</v>
      </c>
      <c r="G15" s="25" t="n">
        <v>2.87239048319E12</v>
      </c>
      <c r="H15" s="26" t="n">
        <f>787301623190</f>
        <v>7.8730162319E11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277095.0</v>
      </c>
      <c r="F16" s="18" t="n">
        <f>29077</f>
        <v>29077.0</v>
      </c>
      <c r="G16" s="17" t="n">
        <v>1.82881706243E12</v>
      </c>
      <c r="H16" s="18" t="n">
        <f>191870194930</f>
        <v>1.9187019493E11</v>
      </c>
    </row>
    <row r="17" spans="1:8" ht="24.9" customHeight="1">
      <c r="A17" s="51"/>
      <c r="B17" s="57"/>
      <c r="C17" s="39"/>
      <c r="D17" s="20" t="s">
        <v>16</v>
      </c>
      <c r="E17" s="21" t="n">
        <v>146703.0</v>
      </c>
      <c r="F17" s="22" t="n">
        <f>14513</f>
        <v>14513.0</v>
      </c>
      <c r="G17" s="21" t="n">
        <v>9.7557662478E11</v>
      </c>
      <c r="H17" s="22" t="n">
        <f>96476817780</f>
        <v>9.647681778E10</v>
      </c>
    </row>
    <row r="18" spans="1:8" ht="24.9" customHeight="1">
      <c r="A18" s="51"/>
      <c r="B18" s="57"/>
      <c r="C18" s="39"/>
      <c r="D18" s="20" t="s">
        <v>17</v>
      </c>
      <c r="E18" s="21" t="n">
        <v>212734.0</v>
      </c>
      <c r="F18" s="22" t="n">
        <f>22619</f>
        <v>22619.0</v>
      </c>
      <c r="G18" s="21" t="n">
        <v>1.422365082476E12</v>
      </c>
      <c r="H18" s="22" t="n">
        <f>151168228976</f>
        <v>1.51168228976E11</v>
      </c>
    </row>
    <row r="19" spans="1:8" ht="24.9" customHeight="1">
      <c r="A19" s="51"/>
      <c r="B19" s="57"/>
      <c r="C19" s="39"/>
      <c r="D19" s="24" t="s">
        <v>18</v>
      </c>
      <c r="E19" s="25" t="n">
        <v>636532.0</v>
      </c>
      <c r="F19" s="26" t="n">
        <f>66209</f>
        <v>66209.0</v>
      </c>
      <c r="G19" s="25" t="n">
        <v>4.226758769686E12</v>
      </c>
      <c r="H19" s="26" t="n">
        <f>439515241686</f>
        <v>4.39515241686E11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414872.0</v>
      </c>
      <c r="F20" s="18" t="str">
        <f>"－"</f>
        <v>－</v>
      </c>
      <c r="G20" s="17" t="n">
        <v>2.7378181885E11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180522.0</v>
      </c>
      <c r="F21" s="22" t="str">
        <f>"－"</f>
        <v>－</v>
      </c>
      <c r="G21" s="21" t="n">
        <v>1.200289488E11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223497.0</v>
      </c>
      <c r="F22" s="22" t="str">
        <f>"－"</f>
        <v>－</v>
      </c>
      <c r="G22" s="21" t="n">
        <v>1.4934055115E11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818891.0</v>
      </c>
      <c r="F23" s="26" t="str">
        <f>"－"</f>
        <v>－</v>
      </c>
      <c r="G23" s="25" t="n">
        <v>5.431513188E11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16574.0</v>
      </c>
      <c r="F24" s="18" t="n">
        <f>149</f>
        <v>149.0</v>
      </c>
      <c r="G24" s="17" t="n">
        <v>6.733980561E11</v>
      </c>
      <c r="H24" s="18" t="n">
        <f>6054431100</f>
        <v>6.0544311E9</v>
      </c>
    </row>
    <row r="25" spans="1:8" ht="24.9" customHeight="1">
      <c r="A25" s="51"/>
      <c r="B25" s="57"/>
      <c r="C25" s="39"/>
      <c r="D25" s="20" t="s">
        <v>16</v>
      </c>
      <c r="E25" s="21" t="n">
        <v>17209.0</v>
      </c>
      <c r="F25" s="22" t="n">
        <f>941</f>
        <v>941.0</v>
      </c>
      <c r="G25" s="21" t="n">
        <v>7.022476065E11</v>
      </c>
      <c r="H25" s="22" t="n">
        <f>38380261500</f>
        <v>3.83802615E10</v>
      </c>
    </row>
    <row r="26" spans="1:8" ht="24.9" customHeight="1">
      <c r="A26" s="51"/>
      <c r="B26" s="57"/>
      <c r="C26" s="39"/>
      <c r="D26" s="20" t="s">
        <v>17</v>
      </c>
      <c r="E26" s="21" t="n">
        <v>54329.0</v>
      </c>
      <c r="F26" s="22" t="n">
        <f>15732</f>
        <v>15732.0</v>
      </c>
      <c r="G26" s="21" t="n">
        <v>2.235055700906E12</v>
      </c>
      <c r="H26" s="22" t="n">
        <f>646609845906</f>
        <v>6.46609845906E11</v>
      </c>
    </row>
    <row r="27" spans="1:8" ht="24.9" customHeight="1">
      <c r="A27" s="51"/>
      <c r="B27" s="57"/>
      <c r="C27" s="39"/>
      <c r="D27" s="24" t="s">
        <v>18</v>
      </c>
      <c r="E27" s="25" t="n">
        <v>88112.0</v>
      </c>
      <c r="F27" s="26" t="n">
        <f>16822</f>
        <v>16822.0</v>
      </c>
      <c r="G27" s="25" t="n">
        <v>3.610701363506E12</v>
      </c>
      <c r="H27" s="26" t="n">
        <f>691044538506</f>
        <v>6.91044538506E11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5736.0</v>
      </c>
      <c r="F28" s="18" t="n">
        <f>334</f>
        <v>334.0</v>
      </c>
      <c r="G28" s="17" t="n">
        <v>2.33092929E10</v>
      </c>
      <c r="H28" s="18" t="n">
        <f>1356749900</f>
        <v>1.3567499E9</v>
      </c>
    </row>
    <row r="29" spans="1:8" ht="24.9" customHeight="1">
      <c r="A29" s="51"/>
      <c r="B29" s="57"/>
      <c r="C29" s="39"/>
      <c r="D29" s="20" t="s">
        <v>16</v>
      </c>
      <c r="E29" s="21" t="n">
        <v>6526.0</v>
      </c>
      <c r="F29" s="22" t="n">
        <f>267</f>
        <v>267.0</v>
      </c>
      <c r="G29" s="21" t="n">
        <v>2.66312194E10</v>
      </c>
      <c r="H29" s="22" t="n">
        <f>1089767150</f>
        <v>1.08976715E9</v>
      </c>
    </row>
    <row r="30" spans="1:8" ht="24.9" customHeight="1">
      <c r="A30" s="51"/>
      <c r="B30" s="57"/>
      <c r="C30" s="39"/>
      <c r="D30" s="20" t="s">
        <v>17</v>
      </c>
      <c r="E30" s="21" t="n">
        <v>10314.0</v>
      </c>
      <c r="F30" s="22" t="n">
        <f>327</f>
        <v>327.0</v>
      </c>
      <c r="G30" s="21" t="n">
        <v>4.245996706E10</v>
      </c>
      <c r="H30" s="22" t="n">
        <f>1344602310</f>
        <v>1.34460231E9</v>
      </c>
    </row>
    <row r="31" spans="1:8" ht="24.9" customHeight="1">
      <c r="A31" s="51"/>
      <c r="B31" s="57"/>
      <c r="C31" s="39"/>
      <c r="D31" s="24" t="s">
        <v>18</v>
      </c>
      <c r="E31" s="25" t="n">
        <v>22576.0</v>
      </c>
      <c r="F31" s="26" t="n">
        <f>928</f>
        <v>928.0</v>
      </c>
      <c r="G31" s="25" t="n">
        <v>9.240047936E10</v>
      </c>
      <c r="H31" s="26" t="n">
        <f>3791119360</f>
        <v>3.79111936E9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878.0</v>
      </c>
      <c r="F36" s="18" t="n">
        <f>21</f>
        <v>21.0</v>
      </c>
      <c r="G36" s="17" t="n">
        <v>3.193980905E9</v>
      </c>
      <c r="H36" s="18" t="n">
        <f>76225905</f>
        <v>7.6225905E7</v>
      </c>
    </row>
    <row r="37" spans="1:8" ht="24.9" customHeight="1">
      <c r="A37" s="51"/>
      <c r="B37" s="57"/>
      <c r="C37" s="39"/>
      <c r="D37" s="20" t="s">
        <v>16</v>
      </c>
      <c r="E37" s="21" t="n">
        <v>565.0</v>
      </c>
      <c r="F37" s="22" t="n">
        <f>4</f>
        <v>4.0</v>
      </c>
      <c r="G37" s="21" t="n">
        <v>2.06296153E9</v>
      </c>
      <c r="H37" s="22" t="n">
        <f>14625530</f>
        <v>1.462553E7</v>
      </c>
    </row>
    <row r="38" spans="1:8" ht="24.9" customHeight="1">
      <c r="A38" s="51"/>
      <c r="B38" s="57"/>
      <c r="C38" s="39"/>
      <c r="D38" s="20" t="s">
        <v>17</v>
      </c>
      <c r="E38" s="21" t="n">
        <v>909.0</v>
      </c>
      <c r="F38" s="22" t="n">
        <f>63</f>
        <v>63.0</v>
      </c>
      <c r="G38" s="21" t="n">
        <v>3.3429385E9</v>
      </c>
      <c r="H38" s="22" t="n">
        <f>230551000</f>
        <v>2.30551E8</v>
      </c>
    </row>
    <row r="39" spans="1:8" ht="24.9" customHeight="1">
      <c r="A39" s="51"/>
      <c r="B39" s="57"/>
      <c r="C39" s="39"/>
      <c r="D39" s="24" t="s">
        <v>18</v>
      </c>
      <c r="E39" s="25" t="n">
        <v>2352.0</v>
      </c>
      <c r="F39" s="26" t="n">
        <f>88</f>
        <v>88.0</v>
      </c>
      <c r="G39" s="25" t="n">
        <v>8.599880935E9</v>
      </c>
      <c r="H39" s="26" t="n">
        <f>321402435</f>
        <v>3.21402435E8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4.0</v>
      </c>
      <c r="F45" s="22" t="n">
        <f>4</f>
        <v>4.0</v>
      </c>
      <c r="G45" s="21" t="n">
        <v>3.072E7</v>
      </c>
      <c r="H45" s="22" t="n">
        <f>30720000</f>
        <v>3.072E7</v>
      </c>
    </row>
    <row r="46" spans="1:8" ht="24.9" customHeight="1">
      <c r="A46" s="51"/>
      <c r="B46" s="57"/>
      <c r="C46" s="39"/>
      <c r="D46" s="20" t="s">
        <v>17</v>
      </c>
      <c r="E46" s="21" t="n">
        <v>120.0</v>
      </c>
      <c r="F46" s="22" t="n">
        <f>120</f>
        <v>120.0</v>
      </c>
      <c r="G46" s="21" t="n">
        <v>9.31368E8</v>
      </c>
      <c r="H46" s="22" t="n">
        <f>931368000</f>
        <v>9.31368E8</v>
      </c>
    </row>
    <row r="47" spans="1:8" ht="24.9" customHeight="1">
      <c r="A47" s="51"/>
      <c r="B47" s="57"/>
      <c r="C47" s="39"/>
      <c r="D47" s="24" t="s">
        <v>18</v>
      </c>
      <c r="E47" s="25" t="n">
        <v>124.0</v>
      </c>
      <c r="F47" s="26" t="n">
        <f>124</f>
        <v>124.0</v>
      </c>
      <c r="G47" s="25" t="n">
        <v>9.62088E8</v>
      </c>
      <c r="H47" s="26" t="n">
        <f>962088000</f>
        <v>9.62088E8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15.0</v>
      </c>
      <c r="F48" s="18" t="n">
        <f>15</f>
        <v>15.0</v>
      </c>
      <c r="G48" s="17" t="n">
        <v>2.5639E7</v>
      </c>
      <c r="H48" s="18" t="n">
        <f>25639000</f>
        <v>2.5639E7</v>
      </c>
    </row>
    <row r="49" spans="1:8" ht="24.9" customHeight="1">
      <c r="A49" s="51"/>
      <c r="B49" s="57"/>
      <c r="C49" s="39"/>
      <c r="D49" s="20" t="s">
        <v>16</v>
      </c>
      <c r="E49" s="21" t="n">
        <v>39.0</v>
      </c>
      <c r="F49" s="22" t="n">
        <f>0</f>
        <v>0.0</v>
      </c>
      <c r="G49" s="21" t="n">
        <v>6.64815E7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1849.0</v>
      </c>
      <c r="F50" s="22" t="n">
        <f>1685</f>
        <v>1685.0</v>
      </c>
      <c r="G50" s="21" t="n">
        <v>3.14358622E9</v>
      </c>
      <c r="H50" s="22" t="n">
        <f>2863947720</f>
        <v>2.86394772E9</v>
      </c>
    </row>
    <row r="51" spans="1:8" ht="24.9" customHeight="1">
      <c r="A51" s="51"/>
      <c r="B51" s="57"/>
      <c r="C51" s="39"/>
      <c r="D51" s="24" t="s">
        <v>18</v>
      </c>
      <c r="E51" s="25" t="n">
        <v>1903.0</v>
      </c>
      <c r="F51" s="26" t="n">
        <f>1700</f>
        <v>1700.0</v>
      </c>
      <c r="G51" s="25" t="n">
        <v>3.23570672E9</v>
      </c>
      <c r="H51" s="26" t="n">
        <f>2889586720</f>
        <v>2.88958672E9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366.0</v>
      </c>
      <c r="F56" s="18" t="n">
        <f>12</f>
        <v>12.0</v>
      </c>
      <c r="G56" s="17" t="n">
        <v>2.837113E8</v>
      </c>
      <c r="H56" s="18" t="n">
        <f>9314300</f>
        <v>9314300.0</v>
      </c>
    </row>
    <row r="57" spans="1:8" ht="24.9" customHeight="1">
      <c r="A57" s="51"/>
      <c r="B57" s="57"/>
      <c r="C57" s="39"/>
      <c r="D57" s="20" t="s">
        <v>16</v>
      </c>
      <c r="E57" s="21" t="n">
        <v>922.0</v>
      </c>
      <c r="F57" s="22" t="n">
        <f>11</f>
        <v>11.0</v>
      </c>
      <c r="G57" s="21" t="n">
        <v>7.170339E8</v>
      </c>
      <c r="H57" s="22" t="n">
        <f>8562900</f>
        <v>8562900.0</v>
      </c>
    </row>
    <row r="58" spans="1:8" ht="24.9" customHeight="1">
      <c r="A58" s="51"/>
      <c r="B58" s="57"/>
      <c r="C58" s="39"/>
      <c r="D58" s="20" t="s">
        <v>17</v>
      </c>
      <c r="E58" s="21" t="n">
        <v>1192.0</v>
      </c>
      <c r="F58" s="22" t="n">
        <f>61</f>
        <v>61.0</v>
      </c>
      <c r="G58" s="21" t="n">
        <v>9.388748E8</v>
      </c>
      <c r="H58" s="22" t="n">
        <f>48490800</f>
        <v>4.84908E7</v>
      </c>
    </row>
    <row r="59" spans="1:8" ht="24.9" customHeight="1">
      <c r="A59" s="51"/>
      <c r="B59" s="57"/>
      <c r="C59" s="39"/>
      <c r="D59" s="24" t="s">
        <v>18</v>
      </c>
      <c r="E59" s="25" t="n">
        <v>2480.0</v>
      </c>
      <c r="F59" s="26" t="n">
        <f>84</f>
        <v>84.0</v>
      </c>
      <c r="G59" s="25" t="n">
        <v>1.93962E9</v>
      </c>
      <c r="H59" s="26" t="n">
        <f>66368000</f>
        <v>6.6368E7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174.0</v>
      </c>
      <c r="F60" s="18" t="n">
        <f>3</f>
        <v>3.0</v>
      </c>
      <c r="G60" s="17" t="n">
        <v>8.99355E8</v>
      </c>
      <c r="H60" s="18" t="n">
        <f>15482100</f>
        <v>1.54821E7</v>
      </c>
    </row>
    <row r="61" spans="1:8" ht="24.9" customHeight="1">
      <c r="A61" s="51"/>
      <c r="B61" s="57"/>
      <c r="C61" s="39"/>
      <c r="D61" s="20" t="s">
        <v>16</v>
      </c>
      <c r="E61" s="21" t="n">
        <v>15.0</v>
      </c>
      <c r="F61" s="22" t="n">
        <f>1</f>
        <v>1.0</v>
      </c>
      <c r="G61" s="21" t="n">
        <v>7.77309E7</v>
      </c>
      <c r="H61" s="22" t="n">
        <f>5183900</f>
        <v>5183900.0</v>
      </c>
    </row>
    <row r="62" spans="1:8" ht="24.9" customHeight="1">
      <c r="A62" s="51"/>
      <c r="B62" s="57"/>
      <c r="C62" s="39"/>
      <c r="D62" s="20" t="s">
        <v>17</v>
      </c>
      <c r="E62" s="21" t="n">
        <v>36.0</v>
      </c>
      <c r="F62" s="22" t="n">
        <f>2</f>
        <v>2.0</v>
      </c>
      <c r="G62" s="21" t="n">
        <v>1.8676261E8</v>
      </c>
      <c r="H62" s="22" t="n">
        <f>10377610</f>
        <v>1.037761E7</v>
      </c>
    </row>
    <row r="63" spans="1:8" ht="24.9" customHeight="1">
      <c r="A63" s="51"/>
      <c r="B63" s="57"/>
      <c r="C63" s="39"/>
      <c r="D63" s="24" t="s">
        <v>18</v>
      </c>
      <c r="E63" s="25" t="n">
        <v>225.0</v>
      </c>
      <c r="F63" s="26" t="n">
        <f>6</f>
        <v>6.0</v>
      </c>
      <c r="G63" s="25" t="n">
        <v>1.16384851E9</v>
      </c>
      <c r="H63" s="26" t="n">
        <f>31043610</f>
        <v>3.104361E7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9.0</v>
      </c>
      <c r="F78" s="22" t="n">
        <f>0</f>
        <v>0.0</v>
      </c>
      <c r="G78" s="21" t="n">
        <v>2597500.0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9.0</v>
      </c>
      <c r="F79" s="26" t="n">
        <f>0</f>
        <v>0.0</v>
      </c>
      <c r="G79" s="25" t="n">
        <v>2597500.0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168.0</v>
      </c>
      <c r="F92" s="18" t="n">
        <f>0</f>
        <v>0.0</v>
      </c>
      <c r="G92" s="17" t="n">
        <v>2.629324E8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54.0</v>
      </c>
      <c r="F93" s="22" t="n">
        <f>0</f>
        <v>0.0</v>
      </c>
      <c r="G93" s="21" t="n">
        <v>8.42029E7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110.0</v>
      </c>
      <c r="F94" s="22" t="n">
        <f>0</f>
        <v>0.0</v>
      </c>
      <c r="G94" s="21" t="n">
        <v>1.715317E8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332.0</v>
      </c>
      <c r="F95" s="26" t="n">
        <f>0</f>
        <v>0.0</v>
      </c>
      <c r="G95" s="25" t="n">
        <v>5.18667E8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12.0</v>
      </c>
      <c r="F96" s="18" t="n">
        <f>0</f>
        <v>0.0</v>
      </c>
      <c r="G96" s="17" t="n">
        <v>2.8151E7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57.0</v>
      </c>
      <c r="F97" s="22" t="n">
        <f>0</f>
        <v>0.0</v>
      </c>
      <c r="G97" s="21" t="n">
        <v>1.332462E8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11.0</v>
      </c>
      <c r="F98" s="22" t="n">
        <f>0</f>
        <v>0.0</v>
      </c>
      <c r="G98" s="21" t="n">
        <v>2.5659E7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80.0</v>
      </c>
      <c r="F99" s="26" t="n">
        <f>0</f>
        <v>0.0</v>
      </c>
      <c r="G99" s="25" t="n">
        <v>1.870562E8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10.0</v>
      </c>
      <c r="F100" s="18" t="n">
        <f>0</f>
        <v>0.0</v>
      </c>
      <c r="G100" s="17" t="n">
        <v>1.7811E7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1.7811E7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11280.0</v>
      </c>
      <c r="F108" s="18" t="n">
        <f>99</f>
        <v>99.0</v>
      </c>
      <c r="G108" s="17" t="n">
        <v>1.40251324E12</v>
      </c>
      <c r="H108" s="18" t="n">
        <f>12316300000</f>
        <v>1.23163E10</v>
      </c>
    </row>
    <row r="109" spans="1:8" ht="24.9" customHeight="1">
      <c r="A109" s="51"/>
      <c r="B109" s="57"/>
      <c r="C109" s="39"/>
      <c r="D109" s="20" t="s">
        <v>16</v>
      </c>
      <c r="E109" s="21" t="n">
        <v>11791.0</v>
      </c>
      <c r="F109" s="22" t="n">
        <f>1438</f>
        <v>1438.0</v>
      </c>
      <c r="G109" s="21" t="n">
        <v>1.465929575E12</v>
      </c>
      <c r="H109" s="22" t="n">
        <f>178766775000</f>
        <v>1.78766775E11</v>
      </c>
    </row>
    <row r="110" spans="1:8" ht="24.9" customHeight="1">
      <c r="A110" s="51"/>
      <c r="B110" s="57"/>
      <c r="C110" s="39"/>
      <c r="D110" s="20" t="s">
        <v>17</v>
      </c>
      <c r="E110" s="21" t="n">
        <v>17354.0</v>
      </c>
      <c r="F110" s="22" t="n">
        <f>1516</f>
        <v>1516.0</v>
      </c>
      <c r="G110" s="21" t="n">
        <v>2.15969353E12</v>
      </c>
      <c r="H110" s="22" t="n">
        <f>188643290000</f>
        <v>1.8864329E11</v>
      </c>
    </row>
    <row r="111" spans="1:8" ht="24.9" customHeight="1">
      <c r="A111" s="51"/>
      <c r="B111" s="57"/>
      <c r="C111" s="39"/>
      <c r="D111" s="24" t="s">
        <v>18</v>
      </c>
      <c r="E111" s="25" t="n">
        <v>40425.0</v>
      </c>
      <c r="F111" s="26" t="n">
        <f>3053</f>
        <v>3053.0</v>
      </c>
      <c r="G111" s="25" t="n">
        <v>5.028136345E12</v>
      </c>
      <c r="H111" s="26" t="n">
        <f>379726365000</f>
        <v>3.79726365E11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1.0</v>
      </c>
      <c r="F112" s="18" t="n">
        <f>0</f>
        <v>0.0</v>
      </c>
      <c r="G112" s="17" t="n">
        <v>1.235E7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1985.0</v>
      </c>
      <c r="F113" s="22" t="n">
        <f>0</f>
        <v>0.0</v>
      </c>
      <c r="G113" s="21" t="n">
        <v>2.4677047E10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1091.0</v>
      </c>
      <c r="F114" s="22" t="n">
        <f>0</f>
        <v>0.0</v>
      </c>
      <c r="G114" s="21" t="n">
        <v>1.3568607E10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3077.0</v>
      </c>
      <c r="F115" s="26" t="n">
        <f>0</f>
        <v>0.0</v>
      </c>
      <c r="G115" s="25" t="n">
        <v>3.8258004E10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359.0</v>
      </c>
      <c r="F118" s="22" t="n">
        <f>0</f>
        <v>0.0</v>
      </c>
      <c r="G118" s="21" t="n">
        <v>3.162249E9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359.0</v>
      </c>
      <c r="F119" s="26" t="n">
        <f>0</f>
        <v>0.0</v>
      </c>
      <c r="G119" s="25" t="n">
        <v>3.162249E9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1822.0</v>
      </c>
      <c r="F120" s="18" t="n">
        <f>0</f>
        <v>0.0</v>
      </c>
      <c r="G120" s="17" t="n">
        <v>4.490152875E10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281.0</v>
      </c>
      <c r="F121" s="22" t="n">
        <f>0</f>
        <v>0.0</v>
      </c>
      <c r="G121" s="21" t="n">
        <v>6.931311875E9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155.0</v>
      </c>
      <c r="F122" s="22" t="n">
        <f>0</f>
        <v>0.0</v>
      </c>
      <c r="G122" s="21" t="n">
        <v>3.81184875E9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2258.0</v>
      </c>
      <c r="F123" s="26" t="n">
        <f>0</f>
        <v>0.0</v>
      </c>
      <c r="G123" s="25" t="n">
        <v>5.5644689375E10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5060.0</v>
      </c>
      <c r="F124" s="18" t="n">
        <f>0</f>
        <v>0.0</v>
      </c>
      <c r="G124" s="17" t="n">
        <v>1.08890654E11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2106.0</v>
      </c>
      <c r="F125" s="22" t="n">
        <f>10</f>
        <v>10.0</v>
      </c>
      <c r="G125" s="21" t="n">
        <v>4.5512487E10</v>
      </c>
      <c r="H125" s="22" t="n">
        <f>200000000</f>
        <v>2.0E8</v>
      </c>
    </row>
    <row r="126" spans="1:8" ht="24.9" customHeight="1">
      <c r="A126" s="51"/>
      <c r="B126" s="57"/>
      <c r="C126" s="39"/>
      <c r="D126" s="20" t="s">
        <v>17</v>
      </c>
      <c r="E126" s="21" t="n">
        <v>1905.0</v>
      </c>
      <c r="F126" s="22" t="n">
        <f>6</f>
        <v>6.0</v>
      </c>
      <c r="G126" s="21" t="n">
        <v>4.1101235E10</v>
      </c>
      <c r="H126" s="22" t="n">
        <f>126820000</f>
        <v>1.2682E8</v>
      </c>
    </row>
    <row r="127" spans="1:8" ht="24.9" customHeight="1">
      <c r="A127" s="51"/>
      <c r="B127" s="57"/>
      <c r="C127" s="39"/>
      <c r="D127" s="24" t="s">
        <v>18</v>
      </c>
      <c r="E127" s="25" t="n">
        <v>9071.0</v>
      </c>
      <c r="F127" s="26" t="n">
        <f>16</f>
        <v>16.0</v>
      </c>
      <c r="G127" s="25" t="n">
        <v>1.95504376E11</v>
      </c>
      <c r="H127" s="26" t="n">
        <f>326820000</f>
        <v>3.2682E8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29.0</v>
      </c>
      <c r="F128" s="18" t="n">
        <f>0</f>
        <v>0.0</v>
      </c>
      <c r="G128" s="17" t="n">
        <v>6.15619E7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121.0</v>
      </c>
      <c r="F129" s="22" t="n">
        <f>0</f>
        <v>0.0</v>
      </c>
      <c r="G129" s="21" t="n">
        <v>2.574362E8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44.0</v>
      </c>
      <c r="F130" s="22" t="n">
        <f>0</f>
        <v>0.0</v>
      </c>
      <c r="G130" s="21" t="n">
        <v>9.35752E7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194.0</v>
      </c>
      <c r="F131" s="26" t="n">
        <f>0</f>
        <v>0.0</v>
      </c>
      <c r="G131" s="25" t="n">
        <v>4.125733E8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5672.0</v>
      </c>
      <c r="F132" s="18" t="n">
        <f>0</f>
        <v>0.0</v>
      </c>
      <c r="G132" s="17" t="n">
        <v>1.22377646E10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2113.0</v>
      </c>
      <c r="F133" s="22" t="n">
        <f>0</f>
        <v>0.0</v>
      </c>
      <c r="G133" s="21" t="n">
        <v>4.5802687E9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1994.0</v>
      </c>
      <c r="F134" s="22" t="n">
        <f>0</f>
        <v>0.0</v>
      </c>
      <c r="G134" s="21" t="n">
        <v>4.31270375E9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9779.0</v>
      </c>
      <c r="F135" s="26" t="n">
        <f>0</f>
        <v>0.0</v>
      </c>
      <c r="G135" s="25" t="n">
        <v>2.113073705E10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124.0</v>
      </c>
      <c r="F136" s="18" t="n">
        <f>0</f>
        <v>0.0</v>
      </c>
      <c r="G136" s="17" t="n">
        <v>2.610021E8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19.0</v>
      </c>
      <c r="F137" s="22" t="n">
        <f>0</f>
        <v>0.0</v>
      </c>
      <c r="G137" s="21" t="n">
        <v>4.01886E7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22.0</v>
      </c>
      <c r="F138" s="22" t="n">
        <f>0</f>
        <v>0.0</v>
      </c>
      <c r="G138" s="21" t="n">
        <v>4.63095E7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165.0</v>
      </c>
      <c r="F139" s="26" t="n">
        <f>0</f>
        <v>0.0</v>
      </c>
      <c r="G139" s="25" t="n">
        <v>3.475002E8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1001.0</v>
      </c>
      <c r="F144" s="18" t="n">
        <f>0</f>
        <v>0.0</v>
      </c>
      <c r="G144" s="17" t="n">
        <v>4.179038E9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812.0</v>
      </c>
      <c r="F145" s="22" t="n">
        <f>0</f>
        <v>0.0</v>
      </c>
      <c r="G145" s="21" t="n">
        <v>3.4219025E9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498.0</v>
      </c>
      <c r="F146" s="22" t="n">
        <f>0</f>
        <v>0.0</v>
      </c>
      <c r="G146" s="21" t="n">
        <v>2.090426E9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2311.0</v>
      </c>
      <c r="F147" s="26" t="n">
        <f>0</f>
        <v>0.0</v>
      </c>
      <c r="G147" s="25" t="n">
        <v>9.6913665E9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95.0</v>
      </c>
      <c r="F148" s="18" t="n">
        <f>0</f>
        <v>0.0</v>
      </c>
      <c r="G148" s="17" t="n">
        <v>8.14098E7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24.0</v>
      </c>
      <c r="F149" s="22" t="n">
        <f>0</f>
        <v>0.0</v>
      </c>
      <c r="G149" s="21" t="n">
        <v>2.07661E7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243.0</v>
      </c>
      <c r="F150" s="22" t="n">
        <f>0</f>
        <v>0.0</v>
      </c>
      <c r="G150" s="21" t="n">
        <v>2.095941E8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362.0</v>
      </c>
      <c r="F151" s="26" t="n">
        <f>0</f>
        <v>0.0</v>
      </c>
      <c r="G151" s="25" t="n">
        <v>3.1177E8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296.0</v>
      </c>
      <c r="F152" s="18" t="n">
        <f>0</f>
        <v>0.0</v>
      </c>
      <c r="G152" s="17" t="n">
        <v>2.470672E8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60.0</v>
      </c>
      <c r="F153" s="22" t="n">
        <f>0</f>
        <v>0.0</v>
      </c>
      <c r="G153" s="21" t="n">
        <v>5.06007E7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138.0</v>
      </c>
      <c r="F154" s="22" t="n">
        <f>0</f>
        <v>0.0</v>
      </c>
      <c r="G154" s="21" t="n">
        <v>1.15944E8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494.0</v>
      </c>
      <c r="F155" s="26" t="n">
        <f>0</f>
        <v>0.0</v>
      </c>
      <c r="G155" s="25" t="n">
        <v>4.136119E8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209.0</v>
      </c>
      <c r="F156" s="18" t="n">
        <f>0</f>
        <v>0.0</v>
      </c>
      <c r="G156" s="17" t="n">
        <v>1.761864E8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125.0</v>
      </c>
      <c r="F157" s="22" t="n">
        <f>0</f>
        <v>0.0</v>
      </c>
      <c r="G157" s="21" t="n">
        <v>1.06326E8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251.0</v>
      </c>
      <c r="F158" s="22" t="n">
        <f>0</f>
        <v>0.0</v>
      </c>
      <c r="G158" s="21" t="n">
        <v>2.129681E8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585.0</v>
      </c>
      <c r="F159" s="26" t="n">
        <f>0</f>
        <v>0.0</v>
      </c>
      <c r="G159" s="25" t="n">
        <v>4.954805E8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157.0</v>
      </c>
      <c r="F168" s="18" t="n">
        <f>0</f>
        <v>0.0</v>
      </c>
      <c r="G168" s="17" t="n">
        <v>3.473135E8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509.0</v>
      </c>
      <c r="F169" s="22" t="n">
        <f>1</f>
        <v>1.0</v>
      </c>
      <c r="G169" s="21" t="n">
        <v>1.152145E9</v>
      </c>
      <c r="H169" s="22" t="n">
        <f>2217500</f>
        <v>2217500.0</v>
      </c>
    </row>
    <row r="170" spans="1:8" ht="24.9" customHeight="1">
      <c r="A170" s="51"/>
      <c r="B170" s="57"/>
      <c r="C170" s="39"/>
      <c r="D170" s="20" t="s">
        <v>17</v>
      </c>
      <c r="E170" s="21" t="n">
        <v>1739.0</v>
      </c>
      <c r="F170" s="22" t="n">
        <f>8</f>
        <v>8.0</v>
      </c>
      <c r="G170" s="21" t="n">
        <v>3.9197585E9</v>
      </c>
      <c r="H170" s="22" t="n">
        <f>17900000</f>
        <v>1.79E7</v>
      </c>
    </row>
    <row r="171" spans="1:8" ht="24.9" customHeight="1">
      <c r="A171" s="51"/>
      <c r="B171" s="57"/>
      <c r="C171" s="39"/>
      <c r="D171" s="24" t="s">
        <v>18</v>
      </c>
      <c r="E171" s="25" t="n">
        <v>2405.0</v>
      </c>
      <c r="F171" s="26" t="n">
        <f>9</f>
        <v>9.0</v>
      </c>
      <c r="G171" s="25" t="n">
        <v>5.419217E9</v>
      </c>
      <c r="H171" s="26" t="n">
        <f>20117500</f>
        <v>2.01175E7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7612000.0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9.0</v>
      </c>
      <c r="F178" s="22" t="n">
        <f>0</f>
        <v>0.0</v>
      </c>
      <c r="G178" s="21" t="n">
        <v>1.7889E7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13.0</v>
      </c>
      <c r="F179" s="26" t="n">
        <f>0</f>
        <v>0.0</v>
      </c>
      <c r="G179" s="25" t="n">
        <v>2.5501E7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187.0</v>
      </c>
      <c r="F204" s="18" t="n">
        <f>0</f>
        <v>0.0</v>
      </c>
      <c r="G204" s="17" t="n">
        <v>8.204725E8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137.0</v>
      </c>
      <c r="F205" s="22" t="n">
        <f>0</f>
        <v>0.0</v>
      </c>
      <c r="G205" s="21" t="n">
        <v>5.950355E8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1696.0</v>
      </c>
      <c r="F206" s="22" t="n">
        <f>0</f>
        <v>0.0</v>
      </c>
      <c r="G206" s="21" t="n">
        <v>7.4029835E9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2020.0</v>
      </c>
      <c r="F207" s="26" t="n">
        <f>0</f>
        <v>0.0</v>
      </c>
      <c r="G207" s="25" t="n">
        <v>8.8184915E9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46295.0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46295.0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4696</f>
        <v>4696.0</v>
      </c>
      <c r="E12" s="35" t="n">
        <f>2981</f>
        <v>2981.0</v>
      </c>
      <c r="F12" s="17" t="n">
        <f>1736</f>
        <v>1736.0</v>
      </c>
      <c r="G12" s="35" t="n">
        <f>376</f>
        <v>376.0</v>
      </c>
      <c r="H12" s="17" t="n">
        <f>6432</f>
        <v>6432.0</v>
      </c>
      <c r="I12" s="35" t="n">
        <f>3357</f>
        <v>3357.0</v>
      </c>
      <c r="J12" s="17" t="n">
        <f>952227490</f>
        <v>9.5222749E8</v>
      </c>
      <c r="K12" s="35" t="n">
        <f>752978490</f>
        <v>7.5297849E8</v>
      </c>
      <c r="L12" s="17" t="n">
        <f>606937770</f>
        <v>6.0693777E8</v>
      </c>
      <c r="M12" s="35" t="n">
        <f>26432770</f>
        <v>2.643277E7</v>
      </c>
      <c r="N12" s="17" t="n">
        <f>1559165260</f>
        <v>1.55916526E9</v>
      </c>
      <c r="O12" s="35" t="n">
        <f>779411260</f>
        <v>7.7941126E8</v>
      </c>
    </row>
    <row r="13" spans="1:15" ht="24.9" customHeight="1">
      <c r="A13" s="38"/>
      <c r="B13" s="62"/>
      <c r="C13" s="20" t="s">
        <v>16</v>
      </c>
      <c r="D13" s="21" t="n">
        <f>5557</f>
        <v>5557.0</v>
      </c>
      <c r="E13" s="36" t="n">
        <f>3061</f>
        <v>3061.0</v>
      </c>
      <c r="F13" s="21" t="n">
        <f>3237</f>
        <v>3237.0</v>
      </c>
      <c r="G13" s="36" t="n">
        <f>1532</f>
        <v>1532.0</v>
      </c>
      <c r="H13" s="21" t="n">
        <f>8794</f>
        <v>8794.0</v>
      </c>
      <c r="I13" s="36" t="n">
        <f>4593</f>
        <v>4593.0</v>
      </c>
      <c r="J13" s="21" t="n">
        <f>1557356360</f>
        <v>1.55735636E9</v>
      </c>
      <c r="K13" s="36" t="n">
        <f>1190222360</f>
        <v>1.19022236E9</v>
      </c>
      <c r="L13" s="21" t="n">
        <f>2436748240</f>
        <v>2.43674824E9</v>
      </c>
      <c r="M13" s="36" t="n">
        <f>2132895240</f>
        <v>2.13289524E9</v>
      </c>
      <c r="N13" s="21" t="n">
        <f>3994104600</f>
        <v>3.9941046E9</v>
      </c>
      <c r="O13" s="36" t="n">
        <f>3323117600</f>
        <v>3.3231176E9</v>
      </c>
    </row>
    <row r="14" spans="1:15" ht="24.9" customHeight="1">
      <c r="A14" s="38"/>
      <c r="B14" s="62"/>
      <c r="C14" s="20" t="s">
        <v>17</v>
      </c>
      <c r="D14" s="21" t="n">
        <f>17544</f>
        <v>17544.0</v>
      </c>
      <c r="E14" s="36" t="n">
        <f>11576</f>
        <v>11576.0</v>
      </c>
      <c r="F14" s="21" t="n">
        <f>10362</f>
        <v>10362.0</v>
      </c>
      <c r="G14" s="36" t="n">
        <f>6691</f>
        <v>6691.0</v>
      </c>
      <c r="H14" s="21" t="n">
        <f>27906</f>
        <v>27906.0</v>
      </c>
      <c r="I14" s="36" t="n">
        <f>18267</f>
        <v>18267.0</v>
      </c>
      <c r="J14" s="21" t="n">
        <f>10681341780</f>
        <v>1.068134178E10</v>
      </c>
      <c r="K14" s="36" t="n">
        <f>8700871780</f>
        <v>8.70087178E9</v>
      </c>
      <c r="L14" s="21" t="n">
        <f>9610006270</f>
        <v>9.61000627E9</v>
      </c>
      <c r="M14" s="36" t="n">
        <f>8688050270</f>
        <v>8.68805027E9</v>
      </c>
      <c r="N14" s="21" t="n">
        <f>20291348050</f>
        <v>2.029134805E10</v>
      </c>
      <c r="O14" s="36" t="n">
        <f>17388922050</f>
        <v>1.738892205E10</v>
      </c>
    </row>
    <row r="15" spans="1:15" ht="24.9" customHeight="1">
      <c r="A15" s="38"/>
      <c r="B15" s="62"/>
      <c r="C15" s="24" t="s">
        <v>18</v>
      </c>
      <c r="D15" s="25" t="n">
        <f>27797</f>
        <v>27797.0</v>
      </c>
      <c r="E15" s="37" t="n">
        <f>17618</f>
        <v>17618.0</v>
      </c>
      <c r="F15" s="25" t="n">
        <f>15335</f>
        <v>15335.0</v>
      </c>
      <c r="G15" s="37" t="n">
        <f>8599</f>
        <v>8599.0</v>
      </c>
      <c r="H15" s="25" t="n">
        <f>43132</f>
        <v>43132.0</v>
      </c>
      <c r="I15" s="37" t="n">
        <f>26217</f>
        <v>26217.0</v>
      </c>
      <c r="J15" s="25" t="n">
        <f>13190925630</f>
        <v>1.319092563E10</v>
      </c>
      <c r="K15" s="37" t="n">
        <f>10644072630</f>
        <v>1.064407263E10</v>
      </c>
      <c r="L15" s="25" t="n">
        <f>12653692280</f>
        <v>1.265369228E10</v>
      </c>
      <c r="M15" s="37" t="n">
        <f>10847378280</f>
        <v>1.084737828E10</v>
      </c>
      <c r="N15" s="25" t="n">
        <f>25844617910</f>
        <v>2.584461791E10</v>
      </c>
      <c r="O15" s="37" t="n">
        <f>21491450910</f>
        <v>2.149145091E10</v>
      </c>
    </row>
    <row r="16" spans="1:15" ht="24.9" customHeight="1">
      <c r="A16" s="38"/>
      <c r="B16" s="61" t="s">
        <v>105</v>
      </c>
      <c r="C16" s="16" t="s">
        <v>15</v>
      </c>
      <c r="D16" s="17" t="n">
        <f>9523</f>
        <v>9523.0</v>
      </c>
      <c r="E16" s="35" t="n">
        <f>990</f>
        <v>990.0</v>
      </c>
      <c r="F16" s="17" t="n">
        <f>6073</f>
        <v>6073.0</v>
      </c>
      <c r="G16" s="35" t="n">
        <f>440</f>
        <v>440.0</v>
      </c>
      <c r="H16" s="17" t="n">
        <f>15596</f>
        <v>15596.0</v>
      </c>
      <c r="I16" s="35" t="n">
        <f>1430</f>
        <v>1430.0</v>
      </c>
      <c r="J16" s="17" t="n">
        <f>187056100</f>
        <v>1.870561E8</v>
      </c>
      <c r="K16" s="35" t="n">
        <f>1813200</f>
        <v>1813200.0</v>
      </c>
      <c r="L16" s="17" t="n">
        <f>106579370</f>
        <v>1.0657937E8</v>
      </c>
      <c r="M16" s="35" t="n">
        <f>1707970</f>
        <v>1707970.0</v>
      </c>
      <c r="N16" s="17" t="n">
        <f>293635470</f>
        <v>2.9363547E8</v>
      </c>
      <c r="O16" s="35" t="n">
        <f>3521170</f>
        <v>3521170.0</v>
      </c>
    </row>
    <row r="17" spans="1:15" ht="24.9" customHeight="1">
      <c r="A17" s="38"/>
      <c r="B17" s="62"/>
      <c r="C17" s="20" t="s">
        <v>16</v>
      </c>
      <c r="D17" s="21" t="n">
        <f>6109</f>
        <v>6109.0</v>
      </c>
      <c r="E17" s="36" t="n">
        <f>650</f>
        <v>650.0</v>
      </c>
      <c r="F17" s="21" t="n">
        <f>4776</f>
        <v>4776.0</v>
      </c>
      <c r="G17" s="36" t="n">
        <f>240</f>
        <v>240.0</v>
      </c>
      <c r="H17" s="21" t="n">
        <f>10885</f>
        <v>10885.0</v>
      </c>
      <c r="I17" s="36" t="n">
        <f>890</f>
        <v>890.0</v>
      </c>
      <c r="J17" s="21" t="n">
        <f>102331420</f>
        <v>1.0233142E8</v>
      </c>
      <c r="K17" s="36" t="n">
        <f>1381520</f>
        <v>1381520.0</v>
      </c>
      <c r="L17" s="21" t="n">
        <f>85368950</f>
        <v>8.536895E7</v>
      </c>
      <c r="M17" s="36" t="n">
        <f>2424950</f>
        <v>2424950.0</v>
      </c>
      <c r="N17" s="21" t="n">
        <f>187700370</f>
        <v>1.8770037E8</v>
      </c>
      <c r="O17" s="36" t="n">
        <f>3806470</f>
        <v>3806470.0</v>
      </c>
    </row>
    <row r="18" spans="1:15" ht="24.9" customHeight="1">
      <c r="A18" s="38"/>
      <c r="B18" s="62"/>
      <c r="C18" s="20" t="s">
        <v>17</v>
      </c>
      <c r="D18" s="21" t="n">
        <f>10332</f>
        <v>10332.0</v>
      </c>
      <c r="E18" s="36" t="n">
        <f>680</f>
        <v>680.0</v>
      </c>
      <c r="F18" s="21" t="n">
        <f>6878</f>
        <v>6878.0</v>
      </c>
      <c r="G18" s="36" t="n">
        <f>330</f>
        <v>330.0</v>
      </c>
      <c r="H18" s="21" t="n">
        <f>17210</f>
        <v>17210.0</v>
      </c>
      <c r="I18" s="36" t="n">
        <f>1010</f>
        <v>1010.0</v>
      </c>
      <c r="J18" s="21" t="n">
        <f>177516110</f>
        <v>1.7751611E8</v>
      </c>
      <c r="K18" s="36" t="n">
        <f>2058910</f>
        <v>2058910.0</v>
      </c>
      <c r="L18" s="21" t="n">
        <f>164642190</f>
        <v>1.6464219E8</v>
      </c>
      <c r="M18" s="36" t="n">
        <f>3045090</f>
        <v>3045090.0</v>
      </c>
      <c r="N18" s="21" t="n">
        <f>342158300</f>
        <v>3.421583E8</v>
      </c>
      <c r="O18" s="36" t="n">
        <f>5104000</f>
        <v>5104000.0</v>
      </c>
    </row>
    <row r="19" spans="1:15" ht="24.9" customHeight="1">
      <c r="A19" s="38"/>
      <c r="B19" s="62"/>
      <c r="C19" s="24" t="s">
        <v>18</v>
      </c>
      <c r="D19" s="25" t="n">
        <f>25964</f>
        <v>25964.0</v>
      </c>
      <c r="E19" s="37" t="n">
        <f>2320</f>
        <v>2320.0</v>
      </c>
      <c r="F19" s="25" t="n">
        <f>17727</f>
        <v>17727.0</v>
      </c>
      <c r="G19" s="37" t="n">
        <f>1010</f>
        <v>1010.0</v>
      </c>
      <c r="H19" s="25" t="n">
        <f>43691</f>
        <v>43691.0</v>
      </c>
      <c r="I19" s="37" t="n">
        <f>3330</f>
        <v>3330.0</v>
      </c>
      <c r="J19" s="25" t="n">
        <f>466903630</f>
        <v>4.6690363E8</v>
      </c>
      <c r="K19" s="37" t="n">
        <f>5253630</f>
        <v>5253630.0</v>
      </c>
      <c r="L19" s="25" t="n">
        <f>356590510</f>
        <v>3.5659051E8</v>
      </c>
      <c r="M19" s="37" t="n">
        <f>7178010</f>
        <v>7178010.0</v>
      </c>
      <c r="N19" s="25" t="n">
        <f>823494140</f>
        <v>8.2349414E8</v>
      </c>
      <c r="O19" s="37" t="n">
        <f>12431640</f>
        <v>1.243164E7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575</f>
        <v>575.0</v>
      </c>
      <c r="E22" s="36" t="n">
        <f>560</f>
        <v>560.0</v>
      </c>
      <c r="F22" s="21" t="n">
        <f>1310</f>
        <v>1310.0</v>
      </c>
      <c r="G22" s="36" t="n">
        <f>1235</f>
        <v>1235.0</v>
      </c>
      <c r="H22" s="21" t="n">
        <f>1885</f>
        <v>1885.0</v>
      </c>
      <c r="I22" s="36" t="n">
        <f>1795</f>
        <v>1795.0</v>
      </c>
      <c r="J22" s="21" t="n">
        <f>766600000</f>
        <v>7.666E8</v>
      </c>
      <c r="K22" s="36" t="n">
        <f>765025000</f>
        <v>7.65025E8</v>
      </c>
      <c r="L22" s="21" t="n">
        <f>168061458</f>
        <v>1.68061458E8</v>
      </c>
      <c r="M22" s="36" t="n">
        <f>133036458</f>
        <v>1.33036458E8</v>
      </c>
      <c r="N22" s="21" t="n">
        <f>934661458</f>
        <v>9.34661458E8</v>
      </c>
      <c r="O22" s="36" t="n">
        <f>898061458</f>
        <v>8.98061458E8</v>
      </c>
    </row>
    <row r="23" spans="1:15" ht="24.9" customHeight="1">
      <c r="A23" s="38"/>
      <c r="B23" s="62"/>
      <c r="C23" s="24" t="s">
        <v>18</v>
      </c>
      <c r="D23" s="25" t="n">
        <f>575</f>
        <v>575.0</v>
      </c>
      <c r="E23" s="37" t="n">
        <f>560</f>
        <v>560.0</v>
      </c>
      <c r="F23" s="25" t="n">
        <f>1310</f>
        <v>1310.0</v>
      </c>
      <c r="G23" s="37" t="n">
        <f>1235</f>
        <v>1235.0</v>
      </c>
      <c r="H23" s="25" t="n">
        <f>1885</f>
        <v>1885.0</v>
      </c>
      <c r="I23" s="37" t="n">
        <f>1795</f>
        <v>1795.0</v>
      </c>
      <c r="J23" s="25" t="n">
        <f>766600000</f>
        <v>7.666E8</v>
      </c>
      <c r="K23" s="37" t="n">
        <f>765025000</f>
        <v>7.65025E8</v>
      </c>
      <c r="L23" s="25" t="n">
        <f>168061458</f>
        <v>1.68061458E8</v>
      </c>
      <c r="M23" s="37" t="n">
        <f>133036458</f>
        <v>1.33036458E8</v>
      </c>
      <c r="N23" s="25" t="n">
        <f>934661458</f>
        <v>9.34661458E8</v>
      </c>
      <c r="O23" s="37" t="n">
        <f>898061458</f>
        <v>8.98061458E8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50</f>
        <v>50.0</v>
      </c>
      <c r="E36" s="18" t="n">
        <f>50</f>
        <v>50.0</v>
      </c>
      <c r="F36" s="17" t="n">
        <f>0</f>
        <v>0.0</v>
      </c>
      <c r="G36" s="18" t="n">
        <f>0</f>
        <v>0.0</v>
      </c>
      <c r="H36" s="17" t="n">
        <f>50</f>
        <v>50.0</v>
      </c>
      <c r="I36" s="18" t="n">
        <f>50</f>
        <v>50.0</v>
      </c>
      <c r="J36" s="17" t="n">
        <f>19500000</f>
        <v>1.95E7</v>
      </c>
      <c r="K36" s="18" t="n">
        <f>19500000</f>
        <v>1.95E7</v>
      </c>
      <c r="L36" s="17" t="n">
        <f>0</f>
        <v>0.0</v>
      </c>
      <c r="M36" s="18" t="n">
        <f>0</f>
        <v>0.0</v>
      </c>
      <c r="N36" s="17" t="n">
        <f>19500000</f>
        <v>1.95E7</v>
      </c>
      <c r="O36" s="18" t="n">
        <f>19500000</f>
        <v>1.95E7</v>
      </c>
    </row>
    <row r="37" spans="1:15" ht="24.9" customHeight="1">
      <c r="A37" s="38"/>
      <c r="B37" s="62"/>
      <c r="C37" s="20" t="s">
        <v>16</v>
      </c>
      <c r="D37" s="21" t="n">
        <f>115</f>
        <v>115.0</v>
      </c>
      <c r="E37" s="22" t="n">
        <f>20</f>
        <v>20.0</v>
      </c>
      <c r="F37" s="21" t="n">
        <f>53</f>
        <v>53.0</v>
      </c>
      <c r="G37" s="22" t="n">
        <f>47</f>
        <v>47.0</v>
      </c>
      <c r="H37" s="21" t="n">
        <f>168</f>
        <v>168.0</v>
      </c>
      <c r="I37" s="22" t="n">
        <f>67</f>
        <v>67.0</v>
      </c>
      <c r="J37" s="21" t="n">
        <f>20980000</f>
        <v>2.098E7</v>
      </c>
      <c r="K37" s="22" t="n">
        <f>2600000</f>
        <v>2600000.0</v>
      </c>
      <c r="L37" s="21" t="n">
        <f>5340000</f>
        <v>5340000.0</v>
      </c>
      <c r="M37" s="22" t="n">
        <f>4670000</f>
        <v>4670000.0</v>
      </c>
      <c r="N37" s="21" t="n">
        <f>26320000</f>
        <v>2.632E7</v>
      </c>
      <c r="O37" s="22" t="n">
        <f>7270000</f>
        <v>7270000.0</v>
      </c>
    </row>
    <row r="38" spans="1:15" ht="24.9" customHeight="1">
      <c r="A38" s="38"/>
      <c r="B38" s="62"/>
      <c r="C38" s="20" t="s">
        <v>17</v>
      </c>
      <c r="D38" s="21" t="n">
        <f>291</f>
        <v>291.0</v>
      </c>
      <c r="E38" s="36" t="n">
        <f>0</f>
        <v>0.0</v>
      </c>
      <c r="F38" s="21" t="n">
        <f>58</f>
        <v>58.0</v>
      </c>
      <c r="G38" s="36" t="n">
        <f>0</f>
        <v>0.0</v>
      </c>
      <c r="H38" s="21" t="n">
        <f>349</f>
        <v>349.0</v>
      </c>
      <c r="I38" s="36" t="n">
        <f>0</f>
        <v>0.0</v>
      </c>
      <c r="J38" s="21" t="n">
        <f>17090000</f>
        <v>1.709E7</v>
      </c>
      <c r="K38" s="36" t="n">
        <f>0</f>
        <v>0.0</v>
      </c>
      <c r="L38" s="21" t="n">
        <f>4160000</f>
        <v>4160000.0</v>
      </c>
      <c r="M38" s="36" t="n">
        <f>0</f>
        <v>0.0</v>
      </c>
      <c r="N38" s="21" t="n">
        <f>21250000</f>
        <v>2.125E7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456</f>
        <v>456.0</v>
      </c>
      <c r="E39" s="37" t="n">
        <f>70</f>
        <v>70.0</v>
      </c>
      <c r="F39" s="25" t="n">
        <f>111</f>
        <v>111.0</v>
      </c>
      <c r="G39" s="37" t="n">
        <f>47</f>
        <v>47.0</v>
      </c>
      <c r="H39" s="25" t="n">
        <f>567</f>
        <v>567.0</v>
      </c>
      <c r="I39" s="37" t="n">
        <f>117</f>
        <v>117.0</v>
      </c>
      <c r="J39" s="25" t="n">
        <f>57570000</f>
        <v>5.757E7</v>
      </c>
      <c r="K39" s="37" t="n">
        <f>22100000</f>
        <v>2.21E7</v>
      </c>
      <c r="L39" s="25" t="n">
        <f>9500000</f>
        <v>9500000.0</v>
      </c>
      <c r="M39" s="37" t="n">
        <f>4670000</f>
        <v>4670000.0</v>
      </c>
      <c r="N39" s="25" t="n">
        <f>67070000</f>
        <v>6.707E7</v>
      </c>
      <c r="O39" s="37" t="n">
        <f>26770000</f>
        <v>2.677E7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2073</f>
        <v>2073.0</v>
      </c>
      <c r="E41" s="36" t="n">
        <f>0</f>
        <v>0.0</v>
      </c>
      <c r="F41" s="21" t="n">
        <f>3258</f>
        <v>3258.0</v>
      </c>
      <c r="G41" s="36" t="n">
        <f>0</f>
        <v>0.0</v>
      </c>
      <c r="H41" s="21" t="n">
        <f>5331</f>
        <v>5331.0</v>
      </c>
      <c r="I41" s="36" t="n">
        <f>0</f>
        <v>0.0</v>
      </c>
      <c r="J41" s="21" t="n">
        <f>13821944</f>
        <v>1.3821944E7</v>
      </c>
      <c r="K41" s="36" t="n">
        <f>0</f>
        <v>0.0</v>
      </c>
      <c r="L41" s="21" t="n">
        <f>8171410</f>
        <v>8171410.0</v>
      </c>
      <c r="M41" s="36" t="n">
        <f>0</f>
        <v>0.0</v>
      </c>
      <c r="N41" s="21" t="n">
        <f>21993354</f>
        <v>2.1993354E7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736</f>
        <v>736.0</v>
      </c>
      <c r="E42" s="36" t="n">
        <f>0</f>
        <v>0.0</v>
      </c>
      <c r="F42" s="21" t="n">
        <f>1945</f>
        <v>1945.0</v>
      </c>
      <c r="G42" s="36" t="n">
        <f>0</f>
        <v>0.0</v>
      </c>
      <c r="H42" s="21" t="n">
        <f>2681</f>
        <v>2681.0</v>
      </c>
      <c r="I42" s="36" t="n">
        <f>0</f>
        <v>0.0</v>
      </c>
      <c r="J42" s="21" t="n">
        <f>15819674</f>
        <v>1.5819674E7</v>
      </c>
      <c r="K42" s="36" t="n">
        <f>0</f>
        <v>0.0</v>
      </c>
      <c r="L42" s="21" t="n">
        <f>4159971</f>
        <v>4159971.0</v>
      </c>
      <c r="M42" s="36" t="n">
        <f>0</f>
        <v>0.0</v>
      </c>
      <c r="N42" s="21" t="n">
        <f>19979645</f>
        <v>1.9979645E7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2809</f>
        <v>2809.0</v>
      </c>
      <c r="E43" s="37" t="n">
        <f>0</f>
        <v>0.0</v>
      </c>
      <c r="F43" s="25" t="n">
        <f>5203</f>
        <v>5203.0</v>
      </c>
      <c r="G43" s="37" t="n">
        <f>0</f>
        <v>0.0</v>
      </c>
      <c r="H43" s="25" t="n">
        <f>8012</f>
        <v>8012.0</v>
      </c>
      <c r="I43" s="37" t="n">
        <f>0</f>
        <v>0.0</v>
      </c>
      <c r="J43" s="25" t="n">
        <f>29641618</f>
        <v>2.9641618E7</v>
      </c>
      <c r="K43" s="37" t="n">
        <f>0</f>
        <v>0.0</v>
      </c>
      <c r="L43" s="25" t="n">
        <f>12331381</f>
        <v>1.2331381E7</v>
      </c>
      <c r="M43" s="37" t="n">
        <f>0</f>
        <v>0.0</v>
      </c>
      <c r="N43" s="25" t="n">
        <f>41972999</f>
        <v>4.1972999E7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