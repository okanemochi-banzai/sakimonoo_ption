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<sst xmlns="http://schemas.openxmlformats.org/spreadsheetml/2006/main" count="528" uniqueCount="129">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</sst>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DATE(2026,04,17)</f>
        <v>46129.0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DATE(2026,04,17)</f>
        <v>46129.0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559883.0</f>
        <v>559883.0</v>
      </c>
      <c r="E12" s="18" t="n">
        <f>32500.0</f>
        <v>32500.0</v>
      </c>
      <c r="F12" s="19" t="n">
        <f>1.0</f>
        <v>1.0</v>
      </c>
      <c r="G12" s="17" t="n">
        <f>3485296981595.0</f>
        <v>3.485296981595E12</v>
      </c>
      <c r="H12" s="18" t="n">
        <f>311744308845.0</f>
        <v>3.11744308845E11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275196.0</f>
        <v>275196.0</v>
      </c>
      <c r="E13" s="22" t="n">
        <f>15616.0</f>
        <v>15616.0</v>
      </c>
      <c r="F13" s="23" t="n">
        <f>1.0</f>
        <v>1.0</v>
      </c>
      <c r="G13" s="21" t="n">
        <f>2877610200256.0</f>
        <v>2.877610200256E12</v>
      </c>
      <c r="H13" s="22" t="n">
        <f>185179402956.0</f>
        <v>1.85179402956E11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331019.0</f>
        <v>331019.0</v>
      </c>
      <c r="E14" s="22" t="n">
        <f>40122.0</f>
        <v>40122.0</v>
      </c>
      <c r="F14" s="23" t="n">
        <f>1.0</f>
        <v>1.0</v>
      </c>
      <c r="G14" s="21" t="n">
        <f>4374423550561.0</f>
        <v>4.374423550561E12</v>
      </c>
      <c r="H14" s="22" t="n">
        <f>1077123291986.0</f>
        <v>1.077123291986E12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1166098.0</f>
        <v>1166098.0</v>
      </c>
      <c r="E15" s="26" t="n">
        <f>88238.0</f>
        <v>88238.0</v>
      </c>
      <c r="F15" s="27" t="n">
        <f>1.0</f>
        <v>1.0</v>
      </c>
      <c r="G15" s="25" t="n">
        <f>10737330732412.0</f>
        <v>1.0737330732412E13</v>
      </c>
      <c r="H15" s="26" t="n">
        <f>1574047003787.0</f>
        <v>1.574047003787E12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6279.0</f>
        <v>6279.0</v>
      </c>
      <c r="E16" s="18" t="n">
        <f>166.0</f>
        <v>166.0</v>
      </c>
      <c r="F16" s="19" t="n">
        <f>0.011</f>
        <v>0.011</v>
      </c>
      <c r="G16" s="17" t="n">
        <f>816226547500.0</f>
        <v>8.162265475E11</v>
      </c>
      <c r="H16" s="18" t="n">
        <f>21603150000.0</f>
        <v>2.160315E10</v>
      </c>
      <c r="I16" s="19" t="n">
        <f>0.234</f>
        <v>0.234</v>
      </c>
    </row>
    <row r="17" spans="1:9" ht="24.9" customHeight="1">
      <c r="A17" s="41"/>
      <c r="B17" s="39"/>
      <c r="C17" s="20" t="s">
        <v>16</v>
      </c>
      <c r="D17" s="21" t="n">
        <f>10327.0</f>
        <v>10327.0</v>
      </c>
      <c r="E17" s="22" t="n">
        <f>367.0</f>
        <v>367.0</v>
      </c>
      <c r="F17" s="23" t="n">
        <f>0.038</f>
        <v>0.038</v>
      </c>
      <c r="G17" s="21" t="n">
        <f>1279671363750.0</f>
        <v>1.27967136375E12</v>
      </c>
      <c r="H17" s="22" t="n">
        <f>47716580000.0</f>
        <v>4.771658E10</v>
      </c>
      <c r="I17" s="23" t="n">
        <f>0.445</f>
        <v>0.445</v>
      </c>
    </row>
    <row r="18" spans="1:9" ht="24.9" customHeight="1">
      <c r="A18" s="41"/>
      <c r="B18" s="39"/>
      <c r="C18" s="20" t="s">
        <v>17</v>
      </c>
      <c r="D18" s="21" t="n">
        <f>8574.0</f>
        <v>8574.0</v>
      </c>
      <c r="E18" s="22" t="n">
        <f>717.0</f>
        <v>717.0</v>
      </c>
      <c r="F18" s="23" t="n">
        <f>0.026</f>
        <v>0.026</v>
      </c>
      <c r="G18" s="21" t="n">
        <f>1097662653125.0</f>
        <v>1.097662653125E12</v>
      </c>
      <c r="H18" s="22" t="n">
        <f>93204940000.0</f>
        <v>9.320494E10</v>
      </c>
      <c r="I18" s="23" t="n">
        <f>0.251</f>
        <v>0.251</v>
      </c>
    </row>
    <row r="19" spans="1:9" ht="24.9" customHeight="1">
      <c r="A19" s="41"/>
      <c r="B19" s="39"/>
      <c r="C19" s="24" t="s">
        <v>18</v>
      </c>
      <c r="D19" s="25" t="n">
        <f>25180.0</f>
        <v>25180.0</v>
      </c>
      <c r="E19" s="26" t="n">
        <f>1250.0</f>
        <v>1250.0</v>
      </c>
      <c r="F19" s="27" t="n">
        <f>0.022</f>
        <v>0.022</v>
      </c>
      <c r="G19" s="25" t="n">
        <f>3193560564375.0</f>
        <v>3.193560564375E12</v>
      </c>
      <c r="H19" s="26" t="n">
        <f>162524670000.0</f>
        <v>1.6252467E11</v>
      </c>
      <c r="I19" s="27" t="n">
        <f>0.297</f>
        <v>0.297</v>
      </c>
    </row>
    <row r="20" spans="1:9" ht="24.9" customHeight="1">
      <c r="A20" s="41"/>
      <c r="B20" s="39" t="s">
        <v>21</v>
      </c>
      <c r="C20" s="16" t="s">
        <v>15</v>
      </c>
      <c r="D20" s="17" t="n">
        <f>543117.0</f>
        <v>543117.0</v>
      </c>
      <c r="E20" s="18" t="n">
        <f>32334.0</f>
        <v>32334.0</v>
      </c>
      <c r="F20" s="19" t="n">
        <f>0.97</f>
        <v>0.97</v>
      </c>
      <c r="G20" s="17" t="n">
        <f>2554850062545.0</f>
        <v>2.554850062545E12</v>
      </c>
      <c r="H20" s="18" t="n">
        <f>290141158845.0</f>
        <v>2.90141158845E11</v>
      </c>
      <c r="I20" s="19" t="n">
        <f>0.733</f>
        <v>0.733</v>
      </c>
    </row>
    <row r="21" spans="1:9" ht="24.9" customHeight="1">
      <c r="A21" s="41"/>
      <c r="B21" s="39"/>
      <c r="C21" s="20" t="s">
        <v>16</v>
      </c>
      <c r="D21" s="21" t="n">
        <f>257544.0</f>
        <v>257544.0</v>
      </c>
      <c r="E21" s="22" t="n">
        <f>15249.0</f>
        <v>15249.0</v>
      </c>
      <c r="F21" s="23" t="n">
        <f>0.936</f>
        <v>0.936</v>
      </c>
      <c r="G21" s="21" t="n">
        <f>1526722599706.0</f>
        <v>1.526722599706E12</v>
      </c>
      <c r="H21" s="22" t="n">
        <f>137462822956.0</f>
        <v>1.37462822956E11</v>
      </c>
      <c r="I21" s="23" t="n">
        <f>0.531</f>
        <v>0.531</v>
      </c>
    </row>
    <row r="22" spans="1:9" ht="24.9" customHeight="1">
      <c r="A22" s="41"/>
      <c r="B22" s="39"/>
      <c r="C22" s="20" t="s">
        <v>17</v>
      </c>
      <c r="D22" s="21" t="n">
        <f>312266.0</f>
        <v>312266.0</v>
      </c>
      <c r="E22" s="22" t="n">
        <f>39405.0</f>
        <v>39405.0</v>
      </c>
      <c r="F22" s="23" t="n">
        <f>0.943</f>
        <v>0.943</v>
      </c>
      <c r="G22" s="21" t="n">
        <f>3209286056086.0</f>
        <v>3.209286056086E12</v>
      </c>
      <c r="H22" s="22" t="n">
        <f>983918351986.0</f>
        <v>9.83918351986E11</v>
      </c>
      <c r="I22" s="23" t="n">
        <f>0.734</f>
        <v>0.734</v>
      </c>
    </row>
    <row r="23" spans="1:9" ht="24.9" customHeight="1">
      <c r="A23" s="41"/>
      <c r="B23" s="39"/>
      <c r="C23" s="24" t="s">
        <v>18</v>
      </c>
      <c r="D23" s="25" t="n">
        <f>1112927.0</f>
        <v>1112927.0</v>
      </c>
      <c r="E23" s="26" t="n">
        <f>86988.0</f>
        <v>86988.0</v>
      </c>
      <c r="F23" s="27" t="n">
        <f>0.954</f>
        <v>0.954</v>
      </c>
      <c r="G23" s="25" t="n">
        <f>7290858718337.0</f>
        <v>7.290858718337E12</v>
      </c>
      <c r="H23" s="26" t="n">
        <f>1411522333787.0</f>
        <v>1.411522333787E12</v>
      </c>
      <c r="I23" s="27" t="n">
        <f>0.679</f>
        <v>0.679</v>
      </c>
    </row>
    <row r="24" spans="1:9" ht="24.9" customHeight="1">
      <c r="A24" s="41"/>
      <c r="B24" s="39" t="s">
        <v>22</v>
      </c>
      <c r="C24" s="16" t="s">
        <v>15</v>
      </c>
      <c r="D24" s="17" t="n">
        <f>10230.0</f>
        <v>10230.0</v>
      </c>
      <c r="E24" s="18" t="n">
        <f>0.0</f>
        <v>0.0</v>
      </c>
      <c r="F24" s="19" t="n">
        <f>0.018</f>
        <v>0.018</v>
      </c>
      <c r="G24" s="17" t="n">
        <f>113144109050.0</f>
        <v>1.1314410905E11</v>
      </c>
      <c r="H24" s="18" t="n">
        <f>0.0</f>
        <v>0.0</v>
      </c>
      <c r="I24" s="19" t="n">
        <f>0.032</f>
        <v>0.032</v>
      </c>
    </row>
    <row r="25" spans="1:9" ht="24.9" customHeight="1">
      <c r="A25" s="41"/>
      <c r="B25" s="39"/>
      <c r="C25" s="20" t="s">
        <v>16</v>
      </c>
      <c r="D25" s="21" t="n">
        <f>6997.0</f>
        <v>6997.0</v>
      </c>
      <c r="E25" s="22" t="n">
        <f>0.0</f>
        <v>0.0</v>
      </c>
      <c r="F25" s="23" t="n">
        <f>0.025</f>
        <v>0.025</v>
      </c>
      <c r="G25" s="21" t="n">
        <f>69858337800.0</f>
        <v>6.98583378E10</v>
      </c>
      <c r="H25" s="22" t="n">
        <f>0.0</f>
        <v>0.0</v>
      </c>
      <c r="I25" s="23" t="n">
        <f>0.024</f>
        <v>0.024</v>
      </c>
    </row>
    <row r="26" spans="1:9" ht="24.9" customHeight="1">
      <c r="A26" s="41"/>
      <c r="B26" s="39"/>
      <c r="C26" s="20" t="s">
        <v>17</v>
      </c>
      <c r="D26" s="21" t="n">
        <f>9082.0</f>
        <v>9082.0</v>
      </c>
      <c r="E26" s="22" t="n">
        <f>0.0</f>
        <v>0.0</v>
      </c>
      <c r="F26" s="23" t="n">
        <f>0.027</f>
        <v>0.027</v>
      </c>
      <c r="G26" s="21" t="n">
        <f>62870390350.0</f>
        <v>6.287039035E10</v>
      </c>
      <c r="H26" s="22" t="n">
        <f>0.0</f>
        <v>0.0</v>
      </c>
      <c r="I26" s="23" t="n">
        <f>0.014</f>
        <v>0.014</v>
      </c>
    </row>
    <row r="27" spans="1:9" ht="24.9" customHeight="1">
      <c r="A27" s="42"/>
      <c r="B27" s="39"/>
      <c r="C27" s="24" t="s">
        <v>18</v>
      </c>
      <c r="D27" s="25" t="n">
        <f>26309.0</f>
        <v>26309.0</v>
      </c>
      <c r="E27" s="26" t="n">
        <f>0.0</f>
        <v>0.0</v>
      </c>
      <c r="F27" s="27" t="n">
        <f>0.023</f>
        <v>0.023</v>
      </c>
      <c r="G27" s="25" t="n">
        <f>245872837200.0</f>
        <v>2.458728372E11</v>
      </c>
      <c r="H27" s="26" t="n">
        <f>0.0</f>
        <v>0.0</v>
      </c>
      <c r="I27" s="27" t="n">
        <f>0.023</f>
        <v>0.023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257.0</f>
        <v>257.0</v>
      </c>
      <c r="E28" s="18" t="n">
        <f>0.0</f>
        <v>0.0</v>
      </c>
      <c r="F28" s="19" t="n">
        <f>0.0</f>
        <v>0.0</v>
      </c>
      <c r="G28" s="17" t="n">
        <f>1076262500.0</f>
        <v>1.0762625E9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328.0</f>
        <v>328.0</v>
      </c>
      <c r="E29" s="22" t="n">
        <f>0.0</f>
        <v>0.0</v>
      </c>
      <c r="F29" s="23" t="n">
        <f>0.001</f>
        <v>0.001</v>
      </c>
      <c r="G29" s="21" t="n">
        <f>1357899000.0</f>
        <v>1.357899E9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1097.0</f>
        <v>1097.0</v>
      </c>
      <c r="E30" s="22" t="n">
        <f>0.0</f>
        <v>0.0</v>
      </c>
      <c r="F30" s="23" t="n">
        <f>0.003</f>
        <v>0.003</v>
      </c>
      <c r="G30" s="21" t="n">
        <f>4604451000.0</f>
        <v>4.604451E9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1682.0</f>
        <v>1682.0</v>
      </c>
      <c r="E31" s="26" t="n">
        <f>0.0</f>
        <v>0.0</v>
      </c>
      <c r="F31" s="27" t="n">
        <f>0.001</f>
        <v>0.001</v>
      </c>
      <c r="G31" s="25" t="n">
        <f>7038612500.0</f>
        <v>7.0386125E9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46129.0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46129.0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19863</f>
        <v>19863.0</v>
      </c>
      <c r="E11" s="18" t="n">
        <f>6823</f>
        <v>6823.0</v>
      </c>
      <c r="F11" s="19" t="n">
        <f>1</f>
        <v>1.0</v>
      </c>
      <c r="G11" s="17" t="n">
        <f>5615646056</f>
        <v>5.615646056E9</v>
      </c>
      <c r="H11" s="18" t="n">
        <f>3909281156</f>
        <v>3.909281156E9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23055</f>
        <v>23055.0</v>
      </c>
      <c r="E12" s="22" t="n">
        <f>2599</f>
        <v>2599.0</v>
      </c>
      <c r="F12" s="23" t="n">
        <f>1</f>
        <v>1.0</v>
      </c>
      <c r="G12" s="21" t="n">
        <f>3990383141</f>
        <v>3.990383141E9</v>
      </c>
      <c r="H12" s="22" t="n">
        <f>2485851396</f>
        <v>2.485851396E9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49799</f>
        <v>49799.0</v>
      </c>
      <c r="E13" s="22" t="n">
        <f>31768</f>
        <v>31768.0</v>
      </c>
      <c r="F13" s="23" t="n">
        <f>1</f>
        <v>1.0</v>
      </c>
      <c r="G13" s="21" t="n">
        <f>61643721839</f>
        <v>6.1643721839E10</v>
      </c>
      <c r="H13" s="22" t="n">
        <f>58075587985</f>
        <v>5.8075587985E10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92717</f>
        <v>92717.0</v>
      </c>
      <c r="E14" s="26" t="n">
        <f>41190</f>
        <v>41190.0</v>
      </c>
      <c r="F14" s="27" t="n">
        <f>1</f>
        <v>1.0</v>
      </c>
      <c r="G14" s="25" t="n">
        <f>71249751036</f>
        <v>7.1249751036E10</v>
      </c>
      <c r="H14" s="26" t="n">
        <f>64470720537</f>
        <v>6.4470720537E10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</f>
        <v>2.0</v>
      </c>
      <c r="E15" s="18" t="n">
        <f>0</f>
        <v>0.0</v>
      </c>
      <c r="F15" s="19" t="n">
        <f>0</f>
        <v>0.0</v>
      </c>
      <c r="G15" s="17" t="n">
        <f>180000</f>
        <v>180000.0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12</f>
        <v>12.0</v>
      </c>
      <c r="E16" s="22" t="n">
        <f>0</f>
        <v>0.0</v>
      </c>
      <c r="F16" s="23" t="n">
        <f>0.001</f>
        <v>0.001</v>
      </c>
      <c r="G16" s="21" t="n">
        <f>2040000</f>
        <v>2040000.0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2</f>
        <v>2.0</v>
      </c>
      <c r="E17" s="22" t="n">
        <f>0</f>
        <v>0.0</v>
      </c>
      <c r="F17" s="23" t="n">
        <f>0</f>
        <v>0.0</v>
      </c>
      <c r="G17" s="21" t="n">
        <f>560000</f>
        <v>560000.0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16</f>
        <v>16.0</v>
      </c>
      <c r="E18" s="26" t="n">
        <f>0</f>
        <v>0.0</v>
      </c>
      <c r="F18" s="27" t="n">
        <f>0</f>
        <v>0.0</v>
      </c>
      <c r="G18" s="25" t="n">
        <f>2780000</f>
        <v>2780000.0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19861</f>
        <v>19861.0</v>
      </c>
      <c r="E19" s="18" t="n">
        <f>6823</f>
        <v>6823.0</v>
      </c>
      <c r="F19" s="19" t="n">
        <f>1</f>
        <v>1.0</v>
      </c>
      <c r="G19" s="17" t="n">
        <f>5615466056</f>
        <v>5.615466056E9</v>
      </c>
      <c r="H19" s="18" t="n">
        <f>3909281156</f>
        <v>3.909281156E9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15121</f>
        <v>15121.0</v>
      </c>
      <c r="E20" s="22" t="n">
        <f>2599</f>
        <v>2599.0</v>
      </c>
      <c r="F20" s="23" t="n">
        <f>0.656</f>
        <v>0.656</v>
      </c>
      <c r="G20" s="21" t="n">
        <f>3957643196</f>
        <v>3.957643196E9</v>
      </c>
      <c r="H20" s="22" t="n">
        <f>2485851396</f>
        <v>2.485851396E9</v>
      </c>
      <c r="I20" s="23" t="n">
        <f>0.992</f>
        <v>0.992</v>
      </c>
    </row>
    <row r="21" spans="1:9" ht="24.9" customHeight="1">
      <c r="A21" s="41"/>
      <c r="B21" s="39"/>
      <c r="C21" s="20" t="s">
        <v>17</v>
      </c>
      <c r="D21" s="21" t="n">
        <f>47798</f>
        <v>47798.0</v>
      </c>
      <c r="E21" s="22" t="n">
        <f>31378</f>
        <v>31378.0</v>
      </c>
      <c r="F21" s="23" t="n">
        <f>0.96</f>
        <v>0.96</v>
      </c>
      <c r="G21" s="21" t="n">
        <f>61416744485</f>
        <v>6.1416744485E10</v>
      </c>
      <c r="H21" s="22" t="n">
        <f>57897507985</f>
        <v>5.7897507985E10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82780</f>
        <v>82780.0</v>
      </c>
      <c r="E22" s="26" t="n">
        <f>40800</f>
        <v>40800.0</v>
      </c>
      <c r="F22" s="27" t="n">
        <f>0.893</f>
        <v>0.893</v>
      </c>
      <c r="G22" s="25" t="n">
        <f>70989853737</f>
        <v>7.0989853737E10</v>
      </c>
      <c r="H22" s="26" t="n">
        <f>64292640537</f>
        <v>6.4292640537E10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7922</f>
        <v>7922.0</v>
      </c>
      <c r="E24" s="22" t="n">
        <f>0</f>
        <v>0.0</v>
      </c>
      <c r="F24" s="23" t="n">
        <f>0.344</f>
        <v>0.344</v>
      </c>
      <c r="G24" s="21" t="n">
        <f>30699945</f>
        <v>3.0699945E7</v>
      </c>
      <c r="H24" s="22" t="n">
        <f>0</f>
        <v>0.0</v>
      </c>
      <c r="I24" s="23" t="n">
        <f>0.008</f>
        <v>0.008</v>
      </c>
    </row>
    <row r="25" spans="1:9" ht="24.9" customHeight="1">
      <c r="A25" s="41"/>
      <c r="B25" s="39"/>
      <c r="C25" s="20" t="s">
        <v>17</v>
      </c>
      <c r="D25" s="21" t="n">
        <f>1999</f>
        <v>1999.0</v>
      </c>
      <c r="E25" s="22" t="n">
        <f>390</f>
        <v>390.0</v>
      </c>
      <c r="F25" s="23" t="n">
        <f>0.04</f>
        <v>0.04</v>
      </c>
      <c r="G25" s="21" t="n">
        <f>226417354</f>
        <v>2.26417354E8</v>
      </c>
      <c r="H25" s="22" t="n">
        <f>178080000</f>
        <v>1.7808E8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9921</f>
        <v>9921.0</v>
      </c>
      <c r="E26" s="26" t="n">
        <f>390</f>
        <v>390.0</v>
      </c>
      <c r="F26" s="27" t="n">
        <f>0.107</f>
        <v>0.107</v>
      </c>
      <c r="G26" s="25" t="n">
        <f>257117299</f>
        <v>2.57117299E8</v>
      </c>
      <c r="H26" s="26" t="n">
        <f>178080000</f>
        <v>1.7808E8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46129.0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46129.0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9831.0</v>
      </c>
      <c r="F12" s="18" t="n">
        <f>1828</f>
        <v>1828.0</v>
      </c>
      <c r="G12" s="17" t="n">
        <v>5.83059365335E11</v>
      </c>
      <c r="H12" s="18" t="n">
        <f>108719995335</f>
        <v>1.08719995335E11</v>
      </c>
    </row>
    <row r="13" spans="1:8" ht="24.9" customHeight="1">
      <c r="A13" s="51"/>
      <c r="B13" s="57"/>
      <c r="C13" s="39"/>
      <c r="D13" s="20" t="s">
        <v>16</v>
      </c>
      <c r="E13" s="21" t="n">
        <v>7176.0</v>
      </c>
      <c r="F13" s="22" t="n">
        <f>826</f>
        <v>826.0</v>
      </c>
      <c r="G13" s="21" t="n">
        <v>4.2493317555E11</v>
      </c>
      <c r="H13" s="22" t="n">
        <f>48995505550</f>
        <v>4.899550555E10</v>
      </c>
    </row>
    <row r="14" spans="1:8" ht="24.9" customHeight="1">
      <c r="A14" s="51"/>
      <c r="B14" s="57"/>
      <c r="C14" s="39"/>
      <c r="D14" s="20" t="s">
        <v>17</v>
      </c>
      <c r="E14" s="21" t="n">
        <v>24159.0</v>
      </c>
      <c r="F14" s="22" t="n">
        <f>11411</f>
        <v>11411.0</v>
      </c>
      <c r="G14" s="21" t="n">
        <v>1.42162458769E12</v>
      </c>
      <c r="H14" s="22" t="n">
        <f>671089087690</f>
        <v>6.7108908769E11</v>
      </c>
    </row>
    <row r="15" spans="1:8" ht="24.9" customHeight="1">
      <c r="A15" s="51"/>
      <c r="B15" s="57"/>
      <c r="C15" s="39"/>
      <c r="D15" s="24" t="s">
        <v>18</v>
      </c>
      <c r="E15" s="25" t="n">
        <v>41166.0</v>
      </c>
      <c r="F15" s="26" t="n">
        <f>14065</f>
        <v>14065.0</v>
      </c>
      <c r="G15" s="25" t="n">
        <v>2.429617128575E12</v>
      </c>
      <c r="H15" s="26" t="n">
        <f>828804588575</f>
        <v>8.28804588575E11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199149.0</v>
      </c>
      <c r="F16" s="18" t="n">
        <f>30159</f>
        <v>30159.0</v>
      </c>
      <c r="G16" s="17" t="n">
        <v>1.18018813491E12</v>
      </c>
      <c r="H16" s="18" t="n">
        <f>178704230910</f>
        <v>1.7870423091E11</v>
      </c>
    </row>
    <row r="17" spans="1:8" ht="24.9" customHeight="1">
      <c r="A17" s="51"/>
      <c r="B17" s="57"/>
      <c r="C17" s="39"/>
      <c r="D17" s="20" t="s">
        <v>16</v>
      </c>
      <c r="E17" s="21" t="n">
        <v>102295.0</v>
      </c>
      <c r="F17" s="22" t="n">
        <f>14081</f>
        <v>14081.0</v>
      </c>
      <c r="G17" s="21" t="n">
        <v>6.0561193116E11</v>
      </c>
      <c r="H17" s="22" t="n">
        <f>83338656360</f>
        <v>8.333865636E10</v>
      </c>
    </row>
    <row r="18" spans="1:8" ht="24.9" customHeight="1">
      <c r="A18" s="51"/>
      <c r="B18" s="57"/>
      <c r="C18" s="39"/>
      <c r="D18" s="20" t="s">
        <v>17</v>
      </c>
      <c r="E18" s="21" t="n">
        <v>127645.0</v>
      </c>
      <c r="F18" s="22" t="n">
        <f>19223</f>
        <v>19223.0</v>
      </c>
      <c r="G18" s="21" t="n">
        <v>7.5240954051E11</v>
      </c>
      <c r="H18" s="22" t="n">
        <f>113419189710</f>
        <v>1.1341918971E11</v>
      </c>
    </row>
    <row r="19" spans="1:8" ht="24.9" customHeight="1">
      <c r="A19" s="51"/>
      <c r="B19" s="57"/>
      <c r="C19" s="39"/>
      <c r="D19" s="24" t="s">
        <v>18</v>
      </c>
      <c r="E19" s="25" t="n">
        <v>429089.0</v>
      </c>
      <c r="F19" s="26" t="n">
        <f>63463</f>
        <v>63463.0</v>
      </c>
      <c r="G19" s="25" t="n">
        <v>2.53820960658E12</v>
      </c>
      <c r="H19" s="26" t="n">
        <f>375462076980</f>
        <v>3.7546207698E11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310172.0</v>
      </c>
      <c r="F20" s="18" t="str">
        <f>"－"</f>
        <v>－</v>
      </c>
      <c r="G20" s="17" t="n">
        <v>1.838073468E11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130506.0</v>
      </c>
      <c r="F21" s="22" t="str">
        <f>"－"</f>
        <v>－</v>
      </c>
      <c r="G21" s="21" t="n">
        <v>7.72536055E10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122191.0</v>
      </c>
      <c r="F22" s="22" t="str">
        <f>"－"</f>
        <v>－</v>
      </c>
      <c r="G22" s="21" t="n">
        <v>7.204121265E10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562869.0</v>
      </c>
      <c r="F23" s="26" t="str">
        <f>"－"</f>
        <v>－</v>
      </c>
      <c r="G23" s="25" t="n">
        <v>3.3310216495E11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15212.0</v>
      </c>
      <c r="F24" s="18" t="n">
        <f>42</f>
        <v>42.0</v>
      </c>
      <c r="G24" s="17" t="n">
        <v>5.799593561E11</v>
      </c>
      <c r="H24" s="18" t="n">
        <f>1603646100</f>
        <v>1.6036461E9</v>
      </c>
    </row>
    <row r="25" spans="1:8" ht="24.9" customHeight="1">
      <c r="A25" s="51"/>
      <c r="B25" s="57"/>
      <c r="C25" s="39"/>
      <c r="D25" s="20" t="s">
        <v>16</v>
      </c>
      <c r="E25" s="21" t="n">
        <v>10491.0</v>
      </c>
      <c r="F25" s="22" t="n">
        <f>114</f>
        <v>114.0</v>
      </c>
      <c r="G25" s="21" t="n">
        <v>3.98196571506E11</v>
      </c>
      <c r="H25" s="22" t="n">
        <f>4336441506</f>
        <v>4.336441506E9</v>
      </c>
    </row>
    <row r="26" spans="1:8" ht="24.9" customHeight="1">
      <c r="A26" s="51"/>
      <c r="B26" s="57"/>
      <c r="C26" s="39"/>
      <c r="D26" s="20" t="s">
        <v>17</v>
      </c>
      <c r="E26" s="21" t="n">
        <v>24079.0</v>
      </c>
      <c r="F26" s="22" t="n">
        <f>4691</f>
        <v>4691.0</v>
      </c>
      <c r="G26" s="21" t="n">
        <v>9.0901953E11</v>
      </c>
      <c r="H26" s="22" t="n">
        <f>176728685000</f>
        <v>1.76728685E11</v>
      </c>
    </row>
    <row r="27" spans="1:8" ht="24.9" customHeight="1">
      <c r="A27" s="51"/>
      <c r="B27" s="57"/>
      <c r="C27" s="39"/>
      <c r="D27" s="24" t="s">
        <v>18</v>
      </c>
      <c r="E27" s="25" t="n">
        <v>49782.0</v>
      </c>
      <c r="F27" s="26" t="n">
        <f>4847</f>
        <v>4847.0</v>
      </c>
      <c r="G27" s="25" t="n">
        <v>1.887175457606E12</v>
      </c>
      <c r="H27" s="26" t="n">
        <f>182668772606</f>
        <v>1.82668772606E11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6034.0</v>
      </c>
      <c r="F28" s="18" t="n">
        <f>288</f>
        <v>288.0</v>
      </c>
      <c r="G28" s="17" t="n">
        <v>2.30064464E10</v>
      </c>
      <c r="H28" s="18" t="n">
        <f>1097882400</f>
        <v>1.0978824E9</v>
      </c>
    </row>
    <row r="29" spans="1:8" ht="24.9" customHeight="1">
      <c r="A29" s="51"/>
      <c r="B29" s="57"/>
      <c r="C29" s="39"/>
      <c r="D29" s="20" t="s">
        <v>16</v>
      </c>
      <c r="E29" s="21" t="n">
        <v>4392.0</v>
      </c>
      <c r="F29" s="22" t="n">
        <f>203</f>
        <v>203.0</v>
      </c>
      <c r="G29" s="21" t="n">
        <v>1.66676939E10</v>
      </c>
      <c r="H29" s="22" t="n">
        <f>770267650</f>
        <v>7.7026765E8</v>
      </c>
    </row>
    <row r="30" spans="1:8" ht="24.9" customHeight="1">
      <c r="A30" s="51"/>
      <c r="B30" s="57"/>
      <c r="C30" s="39"/>
      <c r="D30" s="20" t="s">
        <v>17</v>
      </c>
      <c r="E30" s="21" t="n">
        <v>7137.0</v>
      </c>
      <c r="F30" s="22" t="n">
        <f>177</f>
        <v>177.0</v>
      </c>
      <c r="G30" s="21" t="n">
        <v>2.695581395E10</v>
      </c>
      <c r="H30" s="22" t="n">
        <f>669279700</f>
        <v>6.692797E8</v>
      </c>
    </row>
    <row r="31" spans="1:8" ht="24.9" customHeight="1">
      <c r="A31" s="51"/>
      <c r="B31" s="57"/>
      <c r="C31" s="39"/>
      <c r="D31" s="24" t="s">
        <v>18</v>
      </c>
      <c r="E31" s="25" t="n">
        <v>17563.0</v>
      </c>
      <c r="F31" s="26" t="n">
        <f>668</f>
        <v>668.0</v>
      </c>
      <c r="G31" s="25" t="n">
        <v>6.662995425E10</v>
      </c>
      <c r="H31" s="26" t="n">
        <f>2537429750</f>
        <v>2.53742975E9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414.0</v>
      </c>
      <c r="F36" s="18" t="n">
        <f>0</f>
        <v>0.0</v>
      </c>
      <c r="G36" s="17" t="n">
        <v>1.429355E9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359.0</v>
      </c>
      <c r="F37" s="22" t="n">
        <f>1</f>
        <v>1.0</v>
      </c>
      <c r="G37" s="21" t="n">
        <v>1.23361249E9</v>
      </c>
      <c r="H37" s="22" t="n">
        <f>3438990</f>
        <v>3438990.0</v>
      </c>
    </row>
    <row r="38" spans="1:8" ht="24.9" customHeight="1">
      <c r="A38" s="51"/>
      <c r="B38" s="57"/>
      <c r="C38" s="39"/>
      <c r="D38" s="20" t="s">
        <v>17</v>
      </c>
      <c r="E38" s="21" t="n">
        <v>600.0</v>
      </c>
      <c r="F38" s="22" t="n">
        <f>5</f>
        <v>5.0</v>
      </c>
      <c r="G38" s="21" t="n">
        <v>2.052184495E9</v>
      </c>
      <c r="H38" s="22" t="n">
        <f>17054995</f>
        <v>1.7054995E7</v>
      </c>
    </row>
    <row r="39" spans="1:8" ht="24.9" customHeight="1">
      <c r="A39" s="51"/>
      <c r="B39" s="57"/>
      <c r="C39" s="39"/>
      <c r="D39" s="24" t="s">
        <v>18</v>
      </c>
      <c r="E39" s="25" t="n">
        <v>1373.0</v>
      </c>
      <c r="F39" s="26" t="n">
        <f>6</f>
        <v>6.0</v>
      </c>
      <c r="G39" s="25" t="n">
        <v>4.715151985E9</v>
      </c>
      <c r="H39" s="26" t="n">
        <f>20493985</f>
        <v>2.0493985E7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3485.0</v>
      </c>
      <c r="F46" s="22" t="n">
        <f>3485</f>
        <v>3485.0</v>
      </c>
      <c r="G46" s="21" t="n">
        <v>2.124456E10</v>
      </c>
      <c r="H46" s="22" t="n">
        <f>21244560000</f>
        <v>2.124456E10</v>
      </c>
    </row>
    <row r="47" spans="1:8" ht="24.9" customHeight="1">
      <c r="A47" s="51"/>
      <c r="B47" s="57"/>
      <c r="C47" s="39"/>
      <c r="D47" s="24" t="s">
        <v>18</v>
      </c>
      <c r="E47" s="25" t="n">
        <v>3485.0</v>
      </c>
      <c r="F47" s="26" t="n">
        <f>3485</f>
        <v>3485.0</v>
      </c>
      <c r="G47" s="25" t="n">
        <v>2.124456E10</v>
      </c>
      <c r="H47" s="26" t="n">
        <f>21244560000</f>
        <v>2.124456E10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2.0</v>
      </c>
      <c r="F48" s="18" t="n">
        <f>2</f>
        <v>2.0</v>
      </c>
      <c r="G48" s="17" t="n">
        <v>3872000.0</v>
      </c>
      <c r="H48" s="18" t="n">
        <f>3872000</f>
        <v>3872000.0</v>
      </c>
    </row>
    <row r="49" spans="1:8" ht="24.9" customHeight="1">
      <c r="A49" s="51"/>
      <c r="B49" s="57"/>
      <c r="C49" s="39"/>
      <c r="D49" s="20" t="s">
        <v>16</v>
      </c>
      <c r="E49" s="21" t="n">
        <v>50.0</v>
      </c>
      <c r="F49" s="22" t="n">
        <f>0</f>
        <v>0.0</v>
      </c>
      <c r="G49" s="21" t="n">
        <v>9.638E7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399.0</v>
      </c>
      <c r="F50" s="22" t="n">
        <f>376</f>
        <v>376.0</v>
      </c>
      <c r="G50" s="21" t="n">
        <v>7.66092311E8</v>
      </c>
      <c r="H50" s="22" t="n">
        <f>721929311</f>
        <v>7.21929311E8</v>
      </c>
    </row>
    <row r="51" spans="1:8" ht="24.9" customHeight="1">
      <c r="A51" s="51"/>
      <c r="B51" s="57"/>
      <c r="C51" s="39"/>
      <c r="D51" s="24" t="s">
        <v>18</v>
      </c>
      <c r="E51" s="25" t="n">
        <v>451.0</v>
      </c>
      <c r="F51" s="26" t="n">
        <f>378</f>
        <v>378.0</v>
      </c>
      <c r="G51" s="25" t="n">
        <v>8.66344311E8</v>
      </c>
      <c r="H51" s="26" t="n">
        <f>725801311</f>
        <v>7.25801311E8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485.0</v>
      </c>
      <c r="F56" s="18" t="n">
        <f>15</f>
        <v>15.0</v>
      </c>
      <c r="G56" s="17" t="n">
        <v>3.728921E8</v>
      </c>
      <c r="H56" s="18" t="n">
        <f>11532100</f>
        <v>1.15321E7</v>
      </c>
    </row>
    <row r="57" spans="1:8" ht="24.9" customHeight="1">
      <c r="A57" s="51"/>
      <c r="B57" s="57"/>
      <c r="C57" s="39"/>
      <c r="D57" s="20" t="s">
        <v>16</v>
      </c>
      <c r="E57" s="21" t="n">
        <v>1082.0</v>
      </c>
      <c r="F57" s="22" t="n">
        <f>24</f>
        <v>24.0</v>
      </c>
      <c r="G57" s="21" t="n">
        <v>8.337569E8</v>
      </c>
      <c r="H57" s="22" t="n">
        <f>18512900</f>
        <v>1.85129E7</v>
      </c>
    </row>
    <row r="58" spans="1:8" ht="24.9" customHeight="1">
      <c r="A58" s="51"/>
      <c r="B58" s="57"/>
      <c r="C58" s="39"/>
      <c r="D58" s="20" t="s">
        <v>17</v>
      </c>
      <c r="E58" s="21" t="n">
        <v>1155.0</v>
      </c>
      <c r="F58" s="22" t="n">
        <f>37</f>
        <v>37.0</v>
      </c>
      <c r="G58" s="21" t="n">
        <v>8.8590658E8</v>
      </c>
      <c r="H58" s="22" t="n">
        <f>28565580</f>
        <v>2.856558E7</v>
      </c>
    </row>
    <row r="59" spans="1:8" ht="24.9" customHeight="1">
      <c r="A59" s="51"/>
      <c r="B59" s="57"/>
      <c r="C59" s="39"/>
      <c r="D59" s="24" t="s">
        <v>18</v>
      </c>
      <c r="E59" s="25" t="n">
        <v>2722.0</v>
      </c>
      <c r="F59" s="26" t="n">
        <f>76</f>
        <v>76.0</v>
      </c>
      <c r="G59" s="25" t="n">
        <v>2.09255558E9</v>
      </c>
      <c r="H59" s="26" t="n">
        <f>58610580</f>
        <v>5.861058E7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44.0</v>
      </c>
      <c r="F60" s="18" t="n">
        <f>0</f>
        <v>0.0</v>
      </c>
      <c r="G60" s="17" t="n">
        <v>2.144615E8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2.0</v>
      </c>
      <c r="F61" s="22" t="n">
        <f>0</f>
        <v>0.0</v>
      </c>
      <c r="G61" s="21" t="n">
        <v>9766000.0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12.0</v>
      </c>
      <c r="F62" s="22" t="n">
        <f>0</f>
        <v>0.0</v>
      </c>
      <c r="G62" s="21" t="n">
        <v>5.8632E7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58.0</v>
      </c>
      <c r="F63" s="26" t="n">
        <f>0</f>
        <v>0.0</v>
      </c>
      <c r="G63" s="25" t="n">
        <v>2.828595E8</v>
      </c>
      <c r="H63" s="26" t="n">
        <f>0</f>
        <v>0.0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658000.0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0.0</v>
      </c>
      <c r="F78" s="22" t="n">
        <f>0</f>
        <v>0.0</v>
      </c>
      <c r="G78" s="21" t="n">
        <v>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658000.0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1774.0</v>
      </c>
      <c r="F92" s="18" t="n">
        <f>0</f>
        <v>0.0</v>
      </c>
      <c r="G92" s="17" t="n">
        <v>2.8088324E9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1189.0</v>
      </c>
      <c r="F93" s="22" t="n">
        <f>0</f>
        <v>0.0</v>
      </c>
      <c r="G93" s="21" t="n">
        <v>1.8854487E9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1404.0</v>
      </c>
      <c r="F94" s="22" t="n">
        <f>0</f>
        <v>0.0</v>
      </c>
      <c r="G94" s="21" t="n">
        <v>2.2279959E9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4367.0</v>
      </c>
      <c r="F95" s="26" t="n">
        <f>0</f>
        <v>0.0</v>
      </c>
      <c r="G95" s="25" t="n">
        <v>6.922277E9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6275.0</v>
      </c>
      <c r="F108" s="18" t="n">
        <f>166</f>
        <v>166.0</v>
      </c>
      <c r="G108" s="17" t="n">
        <v>8.1612766E11</v>
      </c>
      <c r="H108" s="18" t="n">
        <f>21603150000</f>
        <v>2.160315E10</v>
      </c>
    </row>
    <row r="109" spans="1:8" ht="24.9" customHeight="1">
      <c r="A109" s="51"/>
      <c r="B109" s="57"/>
      <c r="C109" s="39"/>
      <c r="D109" s="20" t="s">
        <v>16</v>
      </c>
      <c r="E109" s="21" t="n">
        <v>9782.0</v>
      </c>
      <c r="F109" s="22" t="n">
        <f>367</f>
        <v>367.0</v>
      </c>
      <c r="G109" s="21" t="n">
        <v>1.27159149E12</v>
      </c>
      <c r="H109" s="22" t="n">
        <f>47716580000</f>
        <v>4.771658E10</v>
      </c>
    </row>
    <row r="110" spans="1:8" ht="24.9" customHeight="1">
      <c r="A110" s="51"/>
      <c r="B110" s="57"/>
      <c r="C110" s="39"/>
      <c r="D110" s="20" t="s">
        <v>17</v>
      </c>
      <c r="E110" s="21" t="n">
        <v>8414.0</v>
      </c>
      <c r="F110" s="22" t="n">
        <f>717</f>
        <v>717.0</v>
      </c>
      <c r="G110" s="21" t="n">
        <v>1.09370156E12</v>
      </c>
      <c r="H110" s="22" t="n">
        <f>93204940000</f>
        <v>9.320494E10</v>
      </c>
    </row>
    <row r="111" spans="1:8" ht="24.9" customHeight="1">
      <c r="A111" s="51"/>
      <c r="B111" s="57"/>
      <c r="C111" s="39"/>
      <c r="D111" s="24" t="s">
        <v>18</v>
      </c>
      <c r="E111" s="25" t="n">
        <v>24471.0</v>
      </c>
      <c r="F111" s="26" t="n">
        <f>1250</f>
        <v>1250.0</v>
      </c>
      <c r="G111" s="25" t="n">
        <v>3.18142071E12</v>
      </c>
      <c r="H111" s="26" t="n">
        <f>162524670000</f>
        <v>1.6252467E11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241.0</v>
      </c>
      <c r="F113" s="22" t="n">
        <f>0</f>
        <v>0.0</v>
      </c>
      <c r="G113" s="21" t="n">
        <v>3.133115E9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241.0</v>
      </c>
      <c r="F115" s="26" t="n">
        <f>0</f>
        <v>0.0</v>
      </c>
      <c r="G115" s="25" t="n">
        <v>3.133115E9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170.0</v>
      </c>
      <c r="F117" s="22" t="n">
        <f>0</f>
        <v>0.0</v>
      </c>
      <c r="G117" s="21" t="n">
        <v>1.6299E9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170.0</v>
      </c>
      <c r="F119" s="26" t="n">
        <f>0</f>
        <v>0.0</v>
      </c>
      <c r="G119" s="25" t="n">
        <v>1.6299E9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4.0</v>
      </c>
      <c r="F120" s="18" t="n">
        <f>0</f>
        <v>0.0</v>
      </c>
      <c r="G120" s="17" t="n">
        <v>9.88875E7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134.0</v>
      </c>
      <c r="F121" s="22" t="n">
        <f>0</f>
        <v>0.0</v>
      </c>
      <c r="G121" s="21" t="n">
        <v>3.31685875E9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160.0</v>
      </c>
      <c r="F122" s="22" t="n">
        <f>0</f>
        <v>0.0</v>
      </c>
      <c r="G122" s="21" t="n">
        <v>3.961093125E9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298.0</v>
      </c>
      <c r="F123" s="26" t="n">
        <f>0</f>
        <v>0.0</v>
      </c>
      <c r="G123" s="25" t="n">
        <v>7.376839375E9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3726.0</v>
      </c>
      <c r="F124" s="18" t="n">
        <f>0</f>
        <v>0.0</v>
      </c>
      <c r="G124" s="17" t="n">
        <v>9.4367461E10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2261.0</v>
      </c>
      <c r="F125" s="22" t="n">
        <f>0</f>
        <v>0.0</v>
      </c>
      <c r="G125" s="21" t="n">
        <v>5.7073793E10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1856.0</v>
      </c>
      <c r="F126" s="22" t="n">
        <f>0</f>
        <v>0.0</v>
      </c>
      <c r="G126" s="21" t="n">
        <v>4.6960771E10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7843.0</v>
      </c>
      <c r="F127" s="26" t="n">
        <f>0</f>
        <v>0.0</v>
      </c>
      <c r="G127" s="25" t="n">
        <v>1.98402025E11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26.0</v>
      </c>
      <c r="F128" s="18" t="n">
        <f>0</f>
        <v>0.0</v>
      </c>
      <c r="G128" s="17" t="n">
        <v>6.59833E7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295.0</v>
      </c>
      <c r="F129" s="22" t="n">
        <f>0</f>
        <v>0.0</v>
      </c>
      <c r="G129" s="21" t="n">
        <v>7.441019E8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804.0</v>
      </c>
      <c r="F130" s="22" t="n">
        <f>0</f>
        <v>0.0</v>
      </c>
      <c r="G130" s="21" t="n">
        <v>2.0342441E9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1125.0</v>
      </c>
      <c r="F131" s="26" t="n">
        <f>0</f>
        <v>0.0</v>
      </c>
      <c r="G131" s="25" t="n">
        <v>2.8443293E9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4303.0</v>
      </c>
      <c r="F132" s="18" t="n">
        <f>0</f>
        <v>0.0</v>
      </c>
      <c r="G132" s="17" t="n">
        <v>1.092430915E10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1792.0</v>
      </c>
      <c r="F133" s="22" t="n">
        <f>0</f>
        <v>0.0</v>
      </c>
      <c r="G133" s="21" t="n">
        <v>4.5341615E9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2328.0</v>
      </c>
      <c r="F134" s="22" t="n">
        <f>0</f>
        <v>0.0</v>
      </c>
      <c r="G134" s="21" t="n">
        <v>5.89916395E9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8423.0</v>
      </c>
      <c r="F135" s="26" t="n">
        <f>0</f>
        <v>0.0</v>
      </c>
      <c r="G135" s="25" t="n">
        <v>2.13576346E10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48.0</v>
      </c>
      <c r="F136" s="18" t="n">
        <f>0</f>
        <v>0.0</v>
      </c>
      <c r="G136" s="17" t="n">
        <v>1.204239E8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75.0</v>
      </c>
      <c r="F137" s="22" t="n">
        <f>0</f>
        <v>0.0</v>
      </c>
      <c r="G137" s="21" t="n">
        <v>1.878644E8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144.0</v>
      </c>
      <c r="F138" s="22" t="n">
        <f>0</f>
        <v>0.0</v>
      </c>
      <c r="G138" s="21" t="n">
        <v>3.612366E8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267.0</v>
      </c>
      <c r="F139" s="26" t="n">
        <f>0</f>
        <v>0.0</v>
      </c>
      <c r="G139" s="25" t="n">
        <v>6.695249E8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1222.0</v>
      </c>
      <c r="F144" s="18" t="n">
        <f>0</f>
        <v>0.0</v>
      </c>
      <c r="G144" s="17" t="n">
        <v>6.5698765E9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1025.0</v>
      </c>
      <c r="F145" s="22" t="n">
        <f>0</f>
        <v>0.0</v>
      </c>
      <c r="G145" s="21" t="n">
        <v>5.429369E9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750.0</v>
      </c>
      <c r="F146" s="22" t="n">
        <f>0</f>
        <v>0.0</v>
      </c>
      <c r="G146" s="21" t="n">
        <v>3.960653E9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2997.0</v>
      </c>
      <c r="F147" s="26" t="n">
        <f>0</f>
        <v>0.0</v>
      </c>
      <c r="G147" s="25" t="n">
        <v>1.59598985E10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89.0</v>
      </c>
      <c r="F148" s="18" t="n">
        <f>0</f>
        <v>0.0</v>
      </c>
      <c r="G148" s="17" t="n">
        <v>9.807E7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496.0</v>
      </c>
      <c r="F149" s="22" t="n">
        <f>0</f>
        <v>0.0</v>
      </c>
      <c r="G149" s="21" t="n">
        <v>5.384754E8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1049.0</v>
      </c>
      <c r="F150" s="22" t="n">
        <f>0</f>
        <v>0.0</v>
      </c>
      <c r="G150" s="21" t="n">
        <v>1.1307577E9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1634.0</v>
      </c>
      <c r="F151" s="26" t="n">
        <f>0</f>
        <v>0.0</v>
      </c>
      <c r="G151" s="25" t="n">
        <v>1.7673031E9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419.0</v>
      </c>
      <c r="F152" s="18" t="n">
        <f>0</f>
        <v>0.0</v>
      </c>
      <c r="G152" s="17" t="n">
        <v>4.504629E8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147.0</v>
      </c>
      <c r="F153" s="22" t="n">
        <f>0</f>
        <v>0.0</v>
      </c>
      <c r="G153" s="21" t="n">
        <v>1.555491E8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137.0</v>
      </c>
      <c r="F154" s="22" t="n">
        <f>0</f>
        <v>0.0</v>
      </c>
      <c r="G154" s="21" t="n">
        <v>1.447303E8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703.0</v>
      </c>
      <c r="F155" s="26" t="n">
        <f>0</f>
        <v>0.0</v>
      </c>
      <c r="G155" s="25" t="n">
        <v>7.507423E8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266.0</v>
      </c>
      <c r="F156" s="18" t="n">
        <f>0</f>
        <v>0.0</v>
      </c>
      <c r="G156" s="17" t="n">
        <v>2.921578E8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647.0</v>
      </c>
      <c r="F157" s="22" t="n">
        <f>0</f>
        <v>0.0</v>
      </c>
      <c r="G157" s="21" t="n">
        <v>6.97849E8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1745.0</v>
      </c>
      <c r="F158" s="22" t="n">
        <f>0</f>
        <v>0.0</v>
      </c>
      <c r="G158" s="21" t="n">
        <v>1.8609497E9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2658.0</v>
      </c>
      <c r="F159" s="26" t="n">
        <f>0</f>
        <v>0.0</v>
      </c>
      <c r="G159" s="25" t="n">
        <v>2.8509565E9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131.0</v>
      </c>
      <c r="F168" s="18" t="n">
        <f>0</f>
        <v>0.0</v>
      </c>
      <c r="G168" s="17" t="n">
        <v>2.553645E8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239.0</v>
      </c>
      <c r="F169" s="22" t="n">
        <f>0</f>
        <v>0.0</v>
      </c>
      <c r="G169" s="21" t="n">
        <v>4.638605E8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269.0</v>
      </c>
      <c r="F170" s="22" t="n">
        <f>0</f>
        <v>0.0</v>
      </c>
      <c r="G170" s="21" t="n">
        <v>5.17884E8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639.0</v>
      </c>
      <c r="F171" s="26" t="n">
        <f>0</f>
        <v>0.0</v>
      </c>
      <c r="G171" s="25" t="n">
        <v>1.237109E9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20.0</v>
      </c>
      <c r="F177" s="22" t="n">
        <f>0</f>
        <v>0.0</v>
      </c>
      <c r="G177" s="21" t="n">
        <v>3.3314E7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20.0</v>
      </c>
      <c r="F179" s="26" t="n">
        <f>0</f>
        <v>0.0</v>
      </c>
      <c r="G179" s="25" t="n">
        <v>3.3314E7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257.0</v>
      </c>
      <c r="F204" s="18" t="n">
        <f>0</f>
        <v>0.0</v>
      </c>
      <c r="G204" s="17" t="n">
        <v>1.0762625E9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328.0</v>
      </c>
      <c r="F205" s="22" t="n">
        <f>0</f>
        <v>0.0</v>
      </c>
      <c r="G205" s="21" t="n">
        <v>1.357899E9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1097.0</v>
      </c>
      <c r="F206" s="22" t="n">
        <f>0</f>
        <v>0.0</v>
      </c>
      <c r="G206" s="21" t="n">
        <v>4.604451E9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1682.0</v>
      </c>
      <c r="F207" s="26" t="n">
        <f>0</f>
        <v>0.0</v>
      </c>
      <c r="G207" s="25" t="n">
        <v>7.0386125E9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46129.0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46129.0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4967</f>
        <v>4967.0</v>
      </c>
      <c r="E12" s="35" t="n">
        <f>3250</f>
        <v>3250.0</v>
      </c>
      <c r="F12" s="17" t="n">
        <f>4904</f>
        <v>4904.0</v>
      </c>
      <c r="G12" s="35" t="n">
        <f>3183</f>
        <v>3183.0</v>
      </c>
      <c r="H12" s="17" t="n">
        <f>9871</f>
        <v>9871.0</v>
      </c>
      <c r="I12" s="35" t="n">
        <f>6433</f>
        <v>6433.0</v>
      </c>
      <c r="J12" s="17" t="n">
        <f>1612573250</f>
        <v>1.61257325E9</v>
      </c>
      <c r="K12" s="35" t="n">
        <f>1073697250</f>
        <v>1.07369725E9</v>
      </c>
      <c r="L12" s="17" t="n">
        <f>3504945716</f>
        <v>3.504945716E9</v>
      </c>
      <c r="M12" s="35" t="n">
        <f>2827074716</f>
        <v>2.827074716E9</v>
      </c>
      <c r="N12" s="17" t="n">
        <f>5117518966</f>
        <v>5.117518966E9</v>
      </c>
      <c r="O12" s="35" t="n">
        <f>3900771966</f>
        <v>3.900771966E9</v>
      </c>
    </row>
    <row r="13" spans="1:15" ht="24.9" customHeight="1">
      <c r="A13" s="38"/>
      <c r="B13" s="62"/>
      <c r="C13" s="20" t="s">
        <v>16</v>
      </c>
      <c r="D13" s="21" t="n">
        <f>3558</f>
        <v>3558.0</v>
      </c>
      <c r="E13" s="36" t="n">
        <f>1562</f>
        <v>1562.0</v>
      </c>
      <c r="F13" s="21" t="n">
        <f>1813</f>
        <v>1813.0</v>
      </c>
      <c r="G13" s="36" t="n">
        <f>717</f>
        <v>717.0</v>
      </c>
      <c r="H13" s="21" t="n">
        <f>5371</f>
        <v>5371.0</v>
      </c>
      <c r="I13" s="36" t="n">
        <f>2279</f>
        <v>2279.0</v>
      </c>
      <c r="J13" s="21" t="n">
        <f>1973903100</f>
        <v>1.9739031E9</v>
      </c>
      <c r="K13" s="36" t="n">
        <f>1282807100</f>
        <v>1.2828071E9</v>
      </c>
      <c r="L13" s="21" t="n">
        <f>1648152866</f>
        <v>1.648152866E9</v>
      </c>
      <c r="M13" s="36" t="n">
        <f>1197818866</f>
        <v>1.197818866E9</v>
      </c>
      <c r="N13" s="21" t="n">
        <f>3622055966</f>
        <v>3.622055966E9</v>
      </c>
      <c r="O13" s="36" t="n">
        <f>2480625966</f>
        <v>2.480625966E9</v>
      </c>
    </row>
    <row r="14" spans="1:15" ht="24.9" customHeight="1">
      <c r="A14" s="38"/>
      <c r="B14" s="62"/>
      <c r="C14" s="20" t="s">
        <v>17</v>
      </c>
      <c r="D14" s="21" t="n">
        <f>25755</f>
        <v>25755.0</v>
      </c>
      <c r="E14" s="36" t="n">
        <f>21210</f>
        <v>21210.0</v>
      </c>
      <c r="F14" s="21" t="n">
        <f>10972</f>
        <v>10972.0</v>
      </c>
      <c r="G14" s="36" t="n">
        <f>9443</f>
        <v>9443.0</v>
      </c>
      <c r="H14" s="21" t="n">
        <f>36727</f>
        <v>36727.0</v>
      </c>
      <c r="I14" s="36" t="n">
        <f>30653</f>
        <v>30653.0</v>
      </c>
      <c r="J14" s="21" t="n">
        <f>30587097140</f>
        <v>3.058709714E10</v>
      </c>
      <c r="K14" s="36" t="n">
        <f>28267431140</f>
        <v>2.826743114E10</v>
      </c>
      <c r="L14" s="21" t="n">
        <f>29884586545</f>
        <v>2.9884586545E10</v>
      </c>
      <c r="M14" s="36" t="n">
        <f>29099592545</f>
        <v>2.9099592545E10</v>
      </c>
      <c r="N14" s="21" t="n">
        <f>60471683685</f>
        <v>6.0471683685E10</v>
      </c>
      <c r="O14" s="36" t="n">
        <f>57367023685</f>
        <v>5.7367023685E10</v>
      </c>
    </row>
    <row r="15" spans="1:15" ht="24.9" customHeight="1">
      <c r="A15" s="38"/>
      <c r="B15" s="62"/>
      <c r="C15" s="24" t="s">
        <v>18</v>
      </c>
      <c r="D15" s="25" t="n">
        <f>34280</f>
        <v>34280.0</v>
      </c>
      <c r="E15" s="37" t="n">
        <f>26022</f>
        <v>26022.0</v>
      </c>
      <c r="F15" s="25" t="n">
        <f>17689</f>
        <v>17689.0</v>
      </c>
      <c r="G15" s="37" t="n">
        <f>13343</f>
        <v>13343.0</v>
      </c>
      <c r="H15" s="25" t="n">
        <f>51969</f>
        <v>51969.0</v>
      </c>
      <c r="I15" s="37" t="n">
        <f>39365</f>
        <v>39365.0</v>
      </c>
      <c r="J15" s="25" t="n">
        <f>34173573490</f>
        <v>3.417357349E10</v>
      </c>
      <c r="K15" s="37" t="n">
        <f>30623935490</f>
        <v>3.062393549E10</v>
      </c>
      <c r="L15" s="25" t="n">
        <f>35037685127</f>
        <v>3.5037685127E10</v>
      </c>
      <c r="M15" s="37" t="n">
        <f>33124486127</f>
        <v>3.3124486127E10</v>
      </c>
      <c r="N15" s="25" t="n">
        <f>69211258617</f>
        <v>6.9211258617E10</v>
      </c>
      <c r="O15" s="37" t="n">
        <f>63748421617</f>
        <v>6.3748421617E10</v>
      </c>
    </row>
    <row r="16" spans="1:15" ht="24.9" customHeight="1">
      <c r="A16" s="38"/>
      <c r="B16" s="61" t="s">
        <v>105</v>
      </c>
      <c r="C16" s="16" t="s">
        <v>15</v>
      </c>
      <c r="D16" s="17" t="n">
        <f>7235</f>
        <v>7235.0</v>
      </c>
      <c r="E16" s="35" t="n">
        <f>380</f>
        <v>380.0</v>
      </c>
      <c r="F16" s="17" t="n">
        <f>2755</f>
        <v>2755.0</v>
      </c>
      <c r="G16" s="35" t="n">
        <f>10</f>
        <v>10.0</v>
      </c>
      <c r="H16" s="17" t="n">
        <f>9990</f>
        <v>9990.0</v>
      </c>
      <c r="I16" s="35" t="n">
        <f>390</f>
        <v>390.0</v>
      </c>
      <c r="J16" s="17" t="n">
        <f>236895290</f>
        <v>2.3689529E8</v>
      </c>
      <c r="K16" s="35" t="n">
        <f>7989090</f>
        <v>7989090.0</v>
      </c>
      <c r="L16" s="17" t="n">
        <f>261051800</f>
        <v>2.610518E8</v>
      </c>
      <c r="M16" s="35" t="n">
        <f>520100</f>
        <v>520100.0</v>
      </c>
      <c r="N16" s="17" t="n">
        <f>497947090</f>
        <v>4.9794709E8</v>
      </c>
      <c r="O16" s="35" t="n">
        <f>8509190</f>
        <v>8509190.0</v>
      </c>
    </row>
    <row r="17" spans="1:15" ht="24.9" customHeight="1">
      <c r="A17" s="38"/>
      <c r="B17" s="62"/>
      <c r="C17" s="20" t="s">
        <v>16</v>
      </c>
      <c r="D17" s="21" t="n">
        <f>5383</f>
        <v>5383.0</v>
      </c>
      <c r="E17" s="36" t="n">
        <f>160</f>
        <v>160.0</v>
      </c>
      <c r="F17" s="21" t="n">
        <f>4367</f>
        <v>4367.0</v>
      </c>
      <c r="G17" s="36" t="n">
        <f>160</f>
        <v>160.0</v>
      </c>
      <c r="H17" s="21" t="n">
        <f>9750</f>
        <v>9750.0</v>
      </c>
      <c r="I17" s="36" t="n">
        <f>320</f>
        <v>320.0</v>
      </c>
      <c r="J17" s="21" t="n">
        <f>151889860</f>
        <v>1.5188986E8</v>
      </c>
      <c r="K17" s="36" t="n">
        <f>3525060</f>
        <v>3525060.0</v>
      </c>
      <c r="L17" s="21" t="n">
        <f>183697370</f>
        <v>1.8369737E8</v>
      </c>
      <c r="M17" s="36" t="n">
        <f>1700370</f>
        <v>1700370.0</v>
      </c>
      <c r="N17" s="21" t="n">
        <f>335587230</f>
        <v>3.3558723E8</v>
      </c>
      <c r="O17" s="36" t="n">
        <f>5225430</f>
        <v>5225430.0</v>
      </c>
    </row>
    <row r="18" spans="1:15" ht="24.9" customHeight="1">
      <c r="A18" s="38"/>
      <c r="B18" s="62"/>
      <c r="C18" s="20" t="s">
        <v>17</v>
      </c>
      <c r="D18" s="21" t="n">
        <f>7417</f>
        <v>7417.0</v>
      </c>
      <c r="E18" s="36" t="n">
        <f>350</f>
        <v>350.0</v>
      </c>
      <c r="F18" s="21" t="n">
        <f>3386</f>
        <v>3386.0</v>
      </c>
      <c r="G18" s="36" t="n">
        <f>150</f>
        <v>150.0</v>
      </c>
      <c r="H18" s="21" t="n">
        <f>10803</f>
        <v>10803.0</v>
      </c>
      <c r="I18" s="36" t="n">
        <f>500</f>
        <v>500.0</v>
      </c>
      <c r="J18" s="21" t="n">
        <f>227288770</f>
        <v>2.2728877E8</v>
      </c>
      <c r="K18" s="36" t="n">
        <f>2121770</f>
        <v>2121770.0</v>
      </c>
      <c r="L18" s="21" t="n">
        <f>157738530</f>
        <v>1.5773853E8</v>
      </c>
      <c r="M18" s="36" t="n">
        <f>1050030</f>
        <v>1050030.0</v>
      </c>
      <c r="N18" s="21" t="n">
        <f>385027300</f>
        <v>3.850273E8</v>
      </c>
      <c r="O18" s="36" t="n">
        <f>3171800</f>
        <v>3171800.0</v>
      </c>
    </row>
    <row r="19" spans="1:15" ht="24.9" customHeight="1">
      <c r="A19" s="38"/>
      <c r="B19" s="62"/>
      <c r="C19" s="24" t="s">
        <v>18</v>
      </c>
      <c r="D19" s="25" t="n">
        <f>20035</f>
        <v>20035.0</v>
      </c>
      <c r="E19" s="37" t="n">
        <f>890</f>
        <v>890.0</v>
      </c>
      <c r="F19" s="25" t="n">
        <f>10508</f>
        <v>10508.0</v>
      </c>
      <c r="G19" s="37" t="n">
        <f>320</f>
        <v>320.0</v>
      </c>
      <c r="H19" s="25" t="n">
        <f>30543</f>
        <v>30543.0</v>
      </c>
      <c r="I19" s="37" t="n">
        <f>1210</f>
        <v>1210.0</v>
      </c>
      <c r="J19" s="25" t="n">
        <f>616073920</f>
        <v>6.1607392E8</v>
      </c>
      <c r="K19" s="37" t="n">
        <f>13635920</f>
        <v>1.363592E7</v>
      </c>
      <c r="L19" s="25" t="n">
        <f>602487700</f>
        <v>6.024877E8</v>
      </c>
      <c r="M19" s="37" t="n">
        <f>3270500</f>
        <v>3270500.0</v>
      </c>
      <c r="N19" s="25" t="n">
        <f>1218561620</f>
        <v>1.21856162E9</v>
      </c>
      <c r="O19" s="37" t="n">
        <f>16906420</f>
        <v>1.690642E7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268</f>
        <v>268.0</v>
      </c>
      <c r="E22" s="36" t="n">
        <f>225</f>
        <v>225.0</v>
      </c>
      <c r="F22" s="21" t="n">
        <f>0</f>
        <v>0.0</v>
      </c>
      <c r="G22" s="36" t="n">
        <f>0</f>
        <v>0.0</v>
      </c>
      <c r="H22" s="21" t="n">
        <f>268</f>
        <v>268.0</v>
      </c>
      <c r="I22" s="36" t="n">
        <f>225</f>
        <v>225.0</v>
      </c>
      <c r="J22" s="21" t="n">
        <f>560033500</f>
        <v>5.600335E8</v>
      </c>
      <c r="K22" s="36" t="n">
        <f>527312500</f>
        <v>5.273125E8</v>
      </c>
      <c r="L22" s="21" t="n">
        <f>0</f>
        <v>0.0</v>
      </c>
      <c r="M22" s="36" t="n">
        <f>0</f>
        <v>0.0</v>
      </c>
      <c r="N22" s="21" t="n">
        <f>560033500</f>
        <v>5.600335E8</v>
      </c>
      <c r="O22" s="36" t="n">
        <f>527312500</f>
        <v>5.273125E8</v>
      </c>
    </row>
    <row r="23" spans="1:15" ht="24.9" customHeight="1">
      <c r="A23" s="38"/>
      <c r="B23" s="62"/>
      <c r="C23" s="24" t="s">
        <v>18</v>
      </c>
      <c r="D23" s="25" t="n">
        <f>268</f>
        <v>268.0</v>
      </c>
      <c r="E23" s="37" t="n">
        <f>225</f>
        <v>225.0</v>
      </c>
      <c r="F23" s="25" t="n">
        <f>0</f>
        <v>0.0</v>
      </c>
      <c r="G23" s="37" t="n">
        <f>0</f>
        <v>0.0</v>
      </c>
      <c r="H23" s="25" t="n">
        <f>268</f>
        <v>268.0</v>
      </c>
      <c r="I23" s="37" t="n">
        <f>225</f>
        <v>225.0</v>
      </c>
      <c r="J23" s="25" t="n">
        <f>560033500</f>
        <v>5.600335E8</v>
      </c>
      <c r="K23" s="37" t="n">
        <f>527312500</f>
        <v>5.273125E8</v>
      </c>
      <c r="L23" s="25" t="n">
        <f>0</f>
        <v>0.0</v>
      </c>
      <c r="M23" s="37" t="n">
        <f>0</f>
        <v>0.0</v>
      </c>
      <c r="N23" s="25" t="n">
        <f>560033500</f>
        <v>5.600335E8</v>
      </c>
      <c r="O23" s="37" t="n">
        <f>527312500</f>
        <v>5.273125E8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</f>
        <v>2.0</v>
      </c>
      <c r="G36" s="18" t="n">
        <f>0</f>
        <v>0.0</v>
      </c>
      <c r="H36" s="17" t="n">
        <f>2</f>
        <v>2.0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180000</f>
        <v>180000.0</v>
      </c>
      <c r="M36" s="18" t="n">
        <f>0</f>
        <v>0.0</v>
      </c>
      <c r="N36" s="17" t="n">
        <f>180000</f>
        <v>180000.0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</f>
        <v>7.0</v>
      </c>
      <c r="E37" s="22" t="n">
        <f>0</f>
        <v>0.0</v>
      </c>
      <c r="F37" s="21" t="n">
        <f>5</f>
        <v>5.0</v>
      </c>
      <c r="G37" s="22" t="n">
        <f>0</f>
        <v>0.0</v>
      </c>
      <c r="H37" s="21" t="n">
        <f>12</f>
        <v>12.0</v>
      </c>
      <c r="I37" s="22" t="n">
        <f>0</f>
        <v>0.0</v>
      </c>
      <c r="J37" s="21" t="n">
        <f>490000</f>
        <v>490000.0</v>
      </c>
      <c r="K37" s="22" t="n">
        <f>0</f>
        <v>0.0</v>
      </c>
      <c r="L37" s="21" t="n">
        <f>1550000</f>
        <v>1550000.0</v>
      </c>
      <c r="M37" s="22" t="n">
        <f>0</f>
        <v>0.0</v>
      </c>
      <c r="N37" s="21" t="n">
        <f>2040000</f>
        <v>2040000.0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2</f>
        <v>2.0</v>
      </c>
      <c r="G38" s="36" t="n">
        <f>0</f>
        <v>0.0</v>
      </c>
      <c r="H38" s="21" t="n">
        <f>2</f>
        <v>2.0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560000</f>
        <v>560000.0</v>
      </c>
      <c r="M38" s="36" t="n">
        <f>0</f>
        <v>0.0</v>
      </c>
      <c r="N38" s="21" t="n">
        <f>560000</f>
        <v>560000.0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7</f>
        <v>7.0</v>
      </c>
      <c r="E39" s="37" t="n">
        <f>0</f>
        <v>0.0</v>
      </c>
      <c r="F39" s="25" t="n">
        <f>9</f>
        <v>9.0</v>
      </c>
      <c r="G39" s="37" t="n">
        <f>0</f>
        <v>0.0</v>
      </c>
      <c r="H39" s="25" t="n">
        <f>16</f>
        <v>16.0</v>
      </c>
      <c r="I39" s="37" t="n">
        <f>0</f>
        <v>0.0</v>
      </c>
      <c r="J39" s="25" t="n">
        <f>490000</f>
        <v>490000.0</v>
      </c>
      <c r="K39" s="37" t="n">
        <f>0</f>
        <v>0.0</v>
      </c>
      <c r="L39" s="25" t="n">
        <f>2290000</f>
        <v>2290000.0</v>
      </c>
      <c r="M39" s="37" t="n">
        <f>0</f>
        <v>0.0</v>
      </c>
      <c r="N39" s="25" t="n">
        <f>2780000</f>
        <v>2780000.0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7627</f>
        <v>7627.0</v>
      </c>
      <c r="E41" s="36" t="n">
        <f>0</f>
        <v>0.0</v>
      </c>
      <c r="F41" s="21" t="n">
        <f>295</f>
        <v>295.0</v>
      </c>
      <c r="G41" s="36" t="n">
        <f>0</f>
        <v>0.0</v>
      </c>
      <c r="H41" s="21" t="n">
        <f>7922</f>
        <v>7922.0</v>
      </c>
      <c r="I41" s="36" t="n">
        <f>0</f>
        <v>0.0</v>
      </c>
      <c r="J41" s="21" t="n">
        <f>13405468</f>
        <v>1.3405468E7</v>
      </c>
      <c r="K41" s="36" t="n">
        <f>0</f>
        <v>0.0</v>
      </c>
      <c r="L41" s="21" t="n">
        <f>17294477</f>
        <v>1.7294477E7</v>
      </c>
      <c r="M41" s="36" t="n">
        <f>0</f>
        <v>0.0</v>
      </c>
      <c r="N41" s="21" t="n">
        <f>30699945</f>
        <v>3.0699945E7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1342</f>
        <v>1342.0</v>
      </c>
      <c r="E42" s="36" t="n">
        <f>120</f>
        <v>120.0</v>
      </c>
      <c r="F42" s="21" t="n">
        <f>657</f>
        <v>657.0</v>
      </c>
      <c r="G42" s="36" t="n">
        <f>270</f>
        <v>270.0</v>
      </c>
      <c r="H42" s="21" t="n">
        <f>1999</f>
        <v>1999.0</v>
      </c>
      <c r="I42" s="36" t="n">
        <f>390</f>
        <v>390.0</v>
      </c>
      <c r="J42" s="21" t="n">
        <f>127676956</f>
        <v>1.27676956E8</v>
      </c>
      <c r="K42" s="36" t="n">
        <f>93600000</f>
        <v>9.36E7</v>
      </c>
      <c r="L42" s="21" t="n">
        <f>98740398</f>
        <v>9.8740398E7</v>
      </c>
      <c r="M42" s="36" t="n">
        <f>84480000</f>
        <v>8.448E7</v>
      </c>
      <c r="N42" s="21" t="n">
        <f>226417354</f>
        <v>2.26417354E8</v>
      </c>
      <c r="O42" s="36" t="n">
        <f>178080000</f>
        <v>1.7808E8</v>
      </c>
    </row>
    <row r="43" spans="1:15" ht="24.9" customHeight="1">
      <c r="A43" s="38"/>
      <c r="B43" s="62"/>
      <c r="C43" s="24" t="s">
        <v>18</v>
      </c>
      <c r="D43" s="25" t="n">
        <f>8969</f>
        <v>8969.0</v>
      </c>
      <c r="E43" s="37" t="n">
        <f>120</f>
        <v>120.0</v>
      </c>
      <c r="F43" s="25" t="n">
        <f>952</f>
        <v>952.0</v>
      </c>
      <c r="G43" s="37" t="n">
        <f>270</f>
        <v>270.0</v>
      </c>
      <c r="H43" s="25" t="n">
        <f>9921</f>
        <v>9921.0</v>
      </c>
      <c r="I43" s="37" t="n">
        <f>390</f>
        <v>390.0</v>
      </c>
      <c r="J43" s="25" t="n">
        <f>141082424</f>
        <v>1.41082424E8</v>
      </c>
      <c r="K43" s="37" t="n">
        <f>93600000</f>
        <v>9.36E7</v>
      </c>
      <c r="L43" s="25" t="n">
        <f>116034875</f>
        <v>1.16034875E8</v>
      </c>
      <c r="M43" s="37" t="n">
        <f>84480000</f>
        <v>8.448E7</v>
      </c>
      <c r="N43" s="25" t="n">
        <f>257117299</f>
        <v>2.57117299E8</v>
      </c>
      <c r="O43" s="37" t="n">
        <f>178080000</f>
        <v>1.7808E8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