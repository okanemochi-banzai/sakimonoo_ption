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<sst xmlns="http://schemas.openxmlformats.org/spreadsheetml/2006/main" count="166" uniqueCount="63">
  <si>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</si>
  <si>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</si>
  <si>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</si>
  <si>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</si>
  <si>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</si>
  <si>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</si>
  <si>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</si>
  <si>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夜間取引（J-NET）</t>
  </si>
  <si>
    <t>Trading Volume Ranking of Transaction Participants (Night Session) -J-NET-</t>
  </si>
  <si>
    <t>20260928</t>
  </si>
  <si>
    <t>NK225F</t>
  </si>
  <si>
    <t>161120018</t>
  </si>
  <si>
    <t>NIKKEI 225 FUT 2612</t>
  </si>
  <si>
    <t>11256</t>
  </si>
  <si>
    <t>ＳＢＩ証券</t>
  </si>
  <si>
    <t>SBI SECURITIES</t>
  </si>
  <si>
    <t>12057</t>
  </si>
  <si>
    <t>楽天証券</t>
  </si>
  <si>
    <t>Rakuten Securities</t>
  </si>
  <si>
    <t>11560</t>
  </si>
  <si>
    <t>ゴールドマン証券</t>
  </si>
  <si>
    <t>Goldman Sachs Japan</t>
  </si>
  <si>
    <t>11060</t>
  </si>
  <si>
    <t>三菱ＵＦＪｅスマート</t>
  </si>
  <si>
    <t>Mitsubishi UFJ eSmart Securities</t>
  </si>
  <si>
    <t>11714</t>
  </si>
  <si>
    <t>ＪＰモルガン証券</t>
  </si>
  <si>
    <t>JPMorgan Securities Japan</t>
  </si>
  <si>
    <t>12800</t>
  </si>
  <si>
    <t>モルガンＭＵＦＧ証券</t>
  </si>
  <si>
    <t>Morgan Stanley MUFG Securities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</si>
  <si>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</si>
  <si>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</si>
  <si>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</si>
  <si>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</si>
  <si>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</si>
  <si>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</si>
  <si>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12792</t>
  </si>
  <si>
    <t>ビーオブエー証券</t>
  </si>
  <si>
    <t>BofA Securities Japan</t>
  </si>
  <si>
    <t>11696</t>
  </si>
  <si>
    <t>みずほ証券</t>
  </si>
  <si>
    <t>Mizuho Securities</t>
  </si>
  <si>
    <t>NK225MF</t>
  </si>
  <si>
    <t>161100019</t>
  </si>
  <si>
    <t>MINI NK225 FUT 2610</t>
  </si>
  <si>
    <t>161110019</t>
  </si>
  <si>
    <t>MINI NK225 FUT 2611</t>
  </si>
  <si>
    <t>161120019</t>
  </si>
  <si>
    <t>MINI NK225 FUT 2612</t>
  </si>
  <si>
    <t>TOPIXF</t>
  </si>
  <si>
    <t>161120005</t>
  </si>
  <si>
    <t>TOPIX FUT 2612</t>
  </si>
  <si>
    <t>12000</t>
  </si>
  <si>
    <t>大和証券</t>
  </si>
  <si>
    <t>Daiwa Securities</t>
  </si>
  <si>
    <t>NK225E</t>
  </si>
  <si>
    <t>181225018</t>
  </si>
  <si>
    <t>NIKKEI 225 OOP P2610-65000</t>
  </si>
  <si>
    <t>141106818</t>
  </si>
  <si>
    <t>NIKKEI 225 OOP C2610-66875</t>
  </si>
  <si>
    <t>141226518</t>
  </si>
  <si>
    <t>NIKKEI 225 OOP C2610-66500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</si>
</sst>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34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444.0</f>
        <v>444.0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408.0</f>
        <v>408.0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73.0</f>
        <v>73.0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30.0</f>
        <v>30.0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25.0</f>
        <v>25.0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16.0</f>
        <v>16.0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11.0</f>
        <v>11.0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8.0</f>
        <v>8.0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5.0</f>
        <v>5.0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2.0</f>
        <v>2.0</v>
      </c>
    </row>
    <row r="19">
      <c r="A19" s="3" t="s">
        <v>43</v>
      </c>
      <c r="B19" s="4" t="s">
        <v>44</v>
      </c>
      <c r="C19" s="4" t="s">
        <v>45</v>
      </c>
      <c r="D19" s="3" t="n">
        <v>1.0</v>
      </c>
      <c r="E19" s="4" t="s">
        <v>13</v>
      </c>
      <c r="F19" s="4" t="s">
        <v>14</v>
      </c>
      <c r="G19" s="4" t="s">
        <v>15</v>
      </c>
      <c r="H19" s="5" t="n">
        <f>2772.0</f>
        <v>2772.0</v>
      </c>
    </row>
    <row r="20">
      <c r="A20" s="3" t="s">
        <v>43</v>
      </c>
      <c r="B20" s="4" t="s">
        <v>44</v>
      </c>
      <c r="C20" s="4" t="s">
        <v>45</v>
      </c>
      <c r="D20" s="3" t="n">
        <v>2.0</v>
      </c>
      <c r="E20" s="4" t="s">
        <v>16</v>
      </c>
      <c r="F20" s="4" t="s">
        <v>17</v>
      </c>
      <c r="G20" s="4" t="s">
        <v>18</v>
      </c>
      <c r="H20" s="5" t="n">
        <f>1454.0</f>
        <v>1454.0</v>
      </c>
    </row>
    <row r="21">
      <c r="A21" s="3" t="s">
        <v>43</v>
      </c>
      <c r="B21" s="4" t="s">
        <v>44</v>
      </c>
      <c r="C21" s="4" t="s">
        <v>45</v>
      </c>
      <c r="D21" s="3" t="n">
        <v>3.0</v>
      </c>
      <c r="E21" s="4" t="s">
        <v>22</v>
      </c>
      <c r="F21" s="4" t="s">
        <v>23</v>
      </c>
      <c r="G21" s="4" t="s">
        <v>24</v>
      </c>
      <c r="H21" s="5" t="n">
        <f>292.0</f>
        <v>292.0</v>
      </c>
    </row>
    <row r="22">
      <c r="A22" s="3" t="s">
        <v>43</v>
      </c>
      <c r="B22" s="4" t="s">
        <v>46</v>
      </c>
      <c r="C22" s="4" t="s">
        <v>47</v>
      </c>
      <c r="D22" s="3" t="n">
        <v>1.0</v>
      </c>
      <c r="E22" s="4" t="s">
        <v>13</v>
      </c>
      <c r="F22" s="4" t="s">
        <v>14</v>
      </c>
      <c r="G22" s="4" t="s">
        <v>15</v>
      </c>
      <c r="H22" s="5" t="n">
        <f>16.0</f>
        <v>16.0</v>
      </c>
    </row>
    <row r="23">
      <c r="A23" s="3" t="s">
        <v>43</v>
      </c>
      <c r="B23" s="4" t="s">
        <v>46</v>
      </c>
      <c r="C23" s="4" t="s">
        <v>47</v>
      </c>
      <c r="D23" s="3" t="n">
        <v>2.0</v>
      </c>
      <c r="E23" s="4" t="s">
        <v>16</v>
      </c>
      <c r="F23" s="4" t="s">
        <v>17</v>
      </c>
      <c r="G23" s="4" t="s">
        <v>18</v>
      </c>
      <c r="H23" s="5" t="n">
        <f>10.0</f>
        <v>10.0</v>
      </c>
    </row>
    <row r="24">
      <c r="A24" s="3" t="s">
        <v>43</v>
      </c>
      <c r="B24" s="4" t="s">
        <v>48</v>
      </c>
      <c r="C24" s="4" t="s">
        <v>49</v>
      </c>
      <c r="D24" s="3" t="n">
        <v>1.0</v>
      </c>
      <c r="E24" s="4" t="s">
        <v>13</v>
      </c>
      <c r="F24" s="4" t="s">
        <v>14</v>
      </c>
      <c r="G24" s="4" t="s">
        <v>15</v>
      </c>
      <c r="H24" s="5" t="n">
        <f>33774.0</f>
        <v>33774.0</v>
      </c>
    </row>
    <row r="25">
      <c r="A25" s="3" t="s">
        <v>43</v>
      </c>
      <c r="B25" s="4" t="s">
        <v>48</v>
      </c>
      <c r="C25" s="4" t="s">
        <v>49</v>
      </c>
      <c r="D25" s="3" t="n">
        <v>2.0</v>
      </c>
      <c r="E25" s="4" t="s">
        <v>16</v>
      </c>
      <c r="F25" s="4" t="s">
        <v>17</v>
      </c>
      <c r="G25" s="4" t="s">
        <v>18</v>
      </c>
      <c r="H25" s="5" t="n">
        <f>23474.0</f>
        <v>23474.0</v>
      </c>
    </row>
    <row r="26">
      <c r="A26" s="3" t="s">
        <v>43</v>
      </c>
      <c r="B26" s="4" t="s">
        <v>48</v>
      </c>
      <c r="C26" s="4" t="s">
        <v>49</v>
      </c>
      <c r="D26" s="3" t="n">
        <v>3.0</v>
      </c>
      <c r="E26" s="4" t="s">
        <v>22</v>
      </c>
      <c r="F26" s="4" t="s">
        <v>23</v>
      </c>
      <c r="G26" s="4" t="s">
        <v>24</v>
      </c>
      <c r="H26" s="5" t="n">
        <f>4126.0</f>
        <v>4126.0</v>
      </c>
    </row>
    <row r="27">
      <c r="A27" s="3" t="s">
        <v>43</v>
      </c>
      <c r="B27" s="4" t="s">
        <v>48</v>
      </c>
      <c r="C27" s="4" t="s">
        <v>49</v>
      </c>
      <c r="D27" s="3" t="n">
        <v>4.0</v>
      </c>
      <c r="E27" s="4" t="s">
        <v>19</v>
      </c>
      <c r="F27" s="4" t="s">
        <v>20</v>
      </c>
      <c r="G27" s="4" t="s">
        <v>21</v>
      </c>
      <c r="H27" s="5" t="n">
        <f>18.0</f>
        <v>18.0</v>
      </c>
    </row>
    <row r="28">
      <c r="A28" s="3" t="s">
        <v>50</v>
      </c>
      <c r="B28" s="4" t="s">
        <v>51</v>
      </c>
      <c r="C28" s="4" t="s">
        <v>52</v>
      </c>
      <c r="D28" s="3" t="n">
        <v>1.0</v>
      </c>
      <c r="E28" s="4" t="s">
        <v>19</v>
      </c>
      <c r="F28" s="4" t="s">
        <v>20</v>
      </c>
      <c r="G28" s="4" t="s">
        <v>21</v>
      </c>
      <c r="H28" s="5" t="n">
        <f>16.0</f>
        <v>16.0</v>
      </c>
    </row>
    <row r="29">
      <c r="A29" s="3" t="s">
        <v>50</v>
      </c>
      <c r="B29" s="4" t="s">
        <v>51</v>
      </c>
      <c r="C29" s="4" t="s">
        <v>52</v>
      </c>
      <c r="D29" s="3" t="n">
        <v>2.0</v>
      </c>
      <c r="E29" s="4" t="s">
        <v>53</v>
      </c>
      <c r="F29" s="4" t="s">
        <v>54</v>
      </c>
      <c r="G29" s="4" t="s">
        <v>55</v>
      </c>
      <c r="H29" s="5" t="n">
        <f>14.0</f>
        <v>14.0</v>
      </c>
    </row>
    <row r="30">
      <c r="A30" s="3" t="s">
        <v>50</v>
      </c>
      <c r="B30" s="4" t="s">
        <v>51</v>
      </c>
      <c r="C30" s="4" t="s">
        <v>52</v>
      </c>
      <c r="D30" s="3" t="n">
        <v>3.0</v>
      </c>
      <c r="E30" s="4" t="s">
        <v>13</v>
      </c>
      <c r="F30" s="4" t="s">
        <v>14</v>
      </c>
      <c r="G30" s="4" t="s">
        <v>15</v>
      </c>
      <c r="H30" s="5" t="n">
        <f>4.0</f>
        <v>4.0</v>
      </c>
    </row>
    <row r="31">
      <c r="A31" s="3" t="s">
        <v>50</v>
      </c>
      <c r="B31" s="4" t="s">
        <v>51</v>
      </c>
      <c r="C31" s="4" t="s">
        <v>52</v>
      </c>
      <c r="D31" s="3" t="n">
        <v>4.0</v>
      </c>
      <c r="E31" s="4" t="s">
        <v>22</v>
      </c>
      <c r="F31" s="4" t="s">
        <v>23</v>
      </c>
      <c r="G31" s="4" t="s">
        <v>24</v>
      </c>
      <c r="H31" s="5" t="n">
        <f>2.0</f>
        <v>2.0</v>
      </c>
    </row>
    <row r="32">
      <c r="A32" s="3" t="s">
        <v>56</v>
      </c>
      <c r="B32" s="4" t="s">
        <v>57</v>
      </c>
      <c r="C32" s="4" t="s">
        <v>58</v>
      </c>
      <c r="D32" s="3" t="n">
        <v>1.0</v>
      </c>
      <c r="E32" s="4" t="s">
        <v>13</v>
      </c>
      <c r="F32" s="4" t="s">
        <v>14</v>
      </c>
      <c r="G32" s="4" t="s">
        <v>15</v>
      </c>
      <c r="H32" s="5" t="n">
        <f>2.0</f>
        <v>2.0</v>
      </c>
    </row>
    <row r="33">
      <c r="A33" s="3" t="s">
        <v>56</v>
      </c>
      <c r="B33" s="4" t="s">
        <v>59</v>
      </c>
      <c r="C33" s="4" t="s">
        <v>60</v>
      </c>
      <c r="D33" s="3" t="n">
        <v>1.0</v>
      </c>
      <c r="E33" s="4" t="s">
        <v>13</v>
      </c>
      <c r="F33" s="4" t="s">
        <v>14</v>
      </c>
      <c r="G33" s="4" t="s">
        <v>15</v>
      </c>
      <c r="H33" s="5" t="n">
        <f>2.0</f>
        <v>2.0</v>
      </c>
    </row>
    <row r="34">
      <c r="A34" s="3" t="s">
        <v>56</v>
      </c>
      <c r="B34" s="4" t="s">
        <v>61</v>
      </c>
      <c r="C34" s="4" t="s">
        <v>62</v>
      </c>
      <c r="D34" s="3" t="n">
        <v>1.0</v>
      </c>
      <c r="E34" s="4" t="s">
        <v>13</v>
      </c>
      <c r="F34" s="4" t="s">
        <v>14</v>
      </c>
      <c r="G34" s="4" t="s">
        <v>15</v>
      </c>
      <c r="H34" s="5" t="n">
        <f>8.0</f>
        <v>8.0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