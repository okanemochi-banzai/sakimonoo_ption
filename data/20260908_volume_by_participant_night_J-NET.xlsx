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<sst xmlns="http://schemas.openxmlformats.org/spreadsheetml/2006/main" count="298" uniqueCount="85">
  <si>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</si>
  <si>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</si>
  <si>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</si>
  <si>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</si>
  <si>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</si>
  <si>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</si>
  <si>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</si>
  <si>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夜間取引（J-NET）</t>
  </si>
  <si>
    <t>Trading Volume Ranking of Transaction Participants (Night Session) -J-NET-</t>
  </si>
  <si>
    <t>20260908</t>
  </si>
  <si>
    <t>NK225F</t>
  </si>
  <si>
    <t>161090018</t>
  </si>
  <si>
    <t>NIKKEI 225 FUT 2609</t>
  </si>
  <si>
    <t>12724</t>
  </si>
  <si>
    <t>ＨＳＢＣ証券</t>
  </si>
  <si>
    <t>HSBC Securities (Japan)</t>
  </si>
  <si>
    <t>12479</t>
  </si>
  <si>
    <t>ＡＢＮクリアリン証券</t>
  </si>
  <si>
    <t>ABN AMRO Clearing Tokyo</t>
  </si>
  <si>
    <t>11746</t>
  </si>
  <si>
    <t>ＵＢＳ証券</t>
  </si>
  <si>
    <t>UBS Securities Japan</t>
  </si>
  <si>
    <t>11256</t>
  </si>
  <si>
    <t>ＳＢＩ証券</t>
  </si>
  <si>
    <t>SBI SECURITIES</t>
  </si>
  <si>
    <t>12057</t>
  </si>
  <si>
    <t>楽天証券</t>
  </si>
  <si>
    <t>Rakuten Securities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</si>
  <si>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</si>
  <si>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</si>
  <si>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</si>
  <si>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</si>
  <si>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</si>
  <si>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</si>
  <si>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11060</t>
  </si>
  <si>
    <t>三菱ＵＦＪｅスマート</t>
  </si>
  <si>
    <t>Mitsubishi UFJ eSmart Securities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</si>
  <si>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</si>
  <si>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</si>
  <si>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</si>
  <si>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</si>
  <si>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</si>
  <si>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</si>
  <si>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</si>
  <si>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</si>
  <si>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</si>
  <si>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</si>
  <si>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</si>
  <si>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</si>
  <si>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161120018</t>
  </si>
  <si>
    <t>NIKKEI 225 FUT 2612</t>
  </si>
  <si>
    <t>NK225MF</t>
  </si>
  <si>
    <t>161090019</t>
  </si>
  <si>
    <t>MINI NK225 FUT 2609</t>
  </si>
  <si>
    <t>12792</t>
  </si>
  <si>
    <t>ビーオブエー証券</t>
  </si>
  <si>
    <t>BofA Securities Japan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</si>
  <si>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</si>
  <si>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</si>
  <si>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</si>
  <si>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</si>
  <si>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</si>
  <si>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</si>
  <si>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</si>
  <si>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</si>
  <si>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</si>
  <si>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</si>
  <si>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</si>
  <si>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</si>
  <si>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</si>
  <si>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161120005</t>
  </si>
  <si>
    <t>TOPIX FUT 2612</t>
  </si>
  <si>
    <t>NK225E</t>
  </si>
  <si>
    <t>181214518</t>
  </si>
  <si>
    <t>NIKKEI 225 OOP P2609-64500</t>
  </si>
  <si>
    <t>181214718</t>
  </si>
  <si>
    <t>NIKKEI 225 OOP P2609-64750</t>
  </si>
  <si>
    <t>131335018</t>
  </si>
  <si>
    <t>NIKKEI 225 OOP P2609-65000</t>
  </si>
  <si>
    <t>181215518</t>
  </si>
  <si>
    <t>NIKKEI 225 OOP P2609-65500</t>
  </si>
  <si>
    <t>191215518</t>
  </si>
  <si>
    <t>NIKKEI 225 OOP C2609-65500</t>
  </si>
  <si>
    <t>141335018</t>
  </si>
  <si>
    <t>NIKKEI 225 OOP C2609-65000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</si>
</sst>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890.0</f>
        <v>890.0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618.0</f>
        <v>618.0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608.0</f>
        <v>608.0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242.0</f>
        <v>242.0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138.0</f>
        <v>138.0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32.0</f>
        <v>32.0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28.0</f>
        <v>28.0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18.0</f>
        <v>18.0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13.0</f>
        <v>13.0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6.0</f>
        <v>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4.0</f>
        <v>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1.0</f>
        <v>1.0</v>
      </c>
    </row>
    <row r="21">
      <c r="A21" s="3" t="s">
        <v>10</v>
      </c>
      <c r="B21" s="4" t="s">
        <v>49</v>
      </c>
      <c r="C21" s="4" t="s">
        <v>50</v>
      </c>
      <c r="D21" s="3" t="n">
        <v>1.0</v>
      </c>
      <c r="E21" s="4" t="s">
        <v>13</v>
      </c>
      <c r="F21" s="4" t="s">
        <v>14</v>
      </c>
      <c r="G21" s="4" t="s">
        <v>15</v>
      </c>
      <c r="H21" s="5" t="n">
        <f>890.0</f>
        <v>890.0</v>
      </c>
    </row>
    <row r="22">
      <c r="A22" s="3" t="s">
        <v>10</v>
      </c>
      <c r="B22" s="4" t="s">
        <v>49</v>
      </c>
      <c r="C22" s="4" t="s">
        <v>50</v>
      </c>
      <c r="D22" s="3" t="n">
        <v>2.0</v>
      </c>
      <c r="E22" s="4" t="s">
        <v>19</v>
      </c>
      <c r="F22" s="4" t="s">
        <v>20</v>
      </c>
      <c r="G22" s="4" t="s">
        <v>21</v>
      </c>
      <c r="H22" s="5" t="n">
        <f>605.0</f>
        <v>605.0</v>
      </c>
    </row>
    <row r="23">
      <c r="A23" s="3" t="s">
        <v>10</v>
      </c>
      <c r="B23" s="4" t="s">
        <v>49</v>
      </c>
      <c r="C23" s="4" t="s">
        <v>50</v>
      </c>
      <c r="D23" s="3" t="n">
        <v>2.0</v>
      </c>
      <c r="E23" s="4" t="s">
        <v>16</v>
      </c>
      <c r="F23" s="4" t="s">
        <v>17</v>
      </c>
      <c r="G23" s="4" t="s">
        <v>18</v>
      </c>
      <c r="H23" s="5" t="n">
        <f>605.0</f>
        <v>605.0</v>
      </c>
    </row>
    <row r="24">
      <c r="A24" s="3" t="s">
        <v>10</v>
      </c>
      <c r="B24" s="4" t="s">
        <v>49</v>
      </c>
      <c r="C24" s="4" t="s">
        <v>50</v>
      </c>
      <c r="D24" s="3" t="n">
        <v>4.0</v>
      </c>
      <c r="E24" s="4" t="s">
        <v>22</v>
      </c>
      <c r="F24" s="4" t="s">
        <v>23</v>
      </c>
      <c r="G24" s="4" t="s">
        <v>24</v>
      </c>
      <c r="H24" s="5" t="n">
        <f>30.0</f>
        <v>30.0</v>
      </c>
    </row>
    <row r="25">
      <c r="A25" s="3" t="s">
        <v>10</v>
      </c>
      <c r="B25" s="4" t="s">
        <v>49</v>
      </c>
      <c r="C25" s="4" t="s">
        <v>50</v>
      </c>
      <c r="D25" s="3" t="n">
        <v>5.0</v>
      </c>
      <c r="E25" s="4" t="s">
        <v>25</v>
      </c>
      <c r="F25" s="4" t="s">
        <v>26</v>
      </c>
      <c r="G25" s="4" t="s">
        <v>27</v>
      </c>
      <c r="H25" s="5" t="n">
        <f>6.0</f>
        <v>6.0</v>
      </c>
    </row>
    <row r="26">
      <c r="A26" s="3" t="s">
        <v>51</v>
      </c>
      <c r="B26" s="4" t="s">
        <v>52</v>
      </c>
      <c r="C26" s="4" t="s">
        <v>53</v>
      </c>
      <c r="D26" s="3" t="n">
        <v>1.0</v>
      </c>
      <c r="E26" s="4" t="s">
        <v>22</v>
      </c>
      <c r="F26" s="4" t="s">
        <v>23</v>
      </c>
      <c r="G26" s="4" t="s">
        <v>24</v>
      </c>
      <c r="H26" s="5" t="n">
        <f>14398.0</f>
        <v>14398.0</v>
      </c>
    </row>
    <row r="27">
      <c r="A27" s="3" t="s">
        <v>51</v>
      </c>
      <c r="B27" s="4" t="s">
        <v>52</v>
      </c>
      <c r="C27" s="4" t="s">
        <v>53</v>
      </c>
      <c r="D27" s="3" t="n">
        <v>2.0</v>
      </c>
      <c r="E27" s="4" t="s">
        <v>25</v>
      </c>
      <c r="F27" s="4" t="s">
        <v>26</v>
      </c>
      <c r="G27" s="4" t="s">
        <v>27</v>
      </c>
      <c r="H27" s="5" t="n">
        <f>10120.0</f>
        <v>10120.0</v>
      </c>
    </row>
    <row r="28">
      <c r="A28" s="3" t="s">
        <v>51</v>
      </c>
      <c r="B28" s="4" t="s">
        <v>52</v>
      </c>
      <c r="C28" s="4" t="s">
        <v>53</v>
      </c>
      <c r="D28" s="3" t="n">
        <v>3.0</v>
      </c>
      <c r="E28" s="4" t="s">
        <v>34</v>
      </c>
      <c r="F28" s="4" t="s">
        <v>35</v>
      </c>
      <c r="G28" s="4" t="s">
        <v>36</v>
      </c>
      <c r="H28" s="5" t="n">
        <f>1558.0</f>
        <v>1558.0</v>
      </c>
    </row>
    <row r="29">
      <c r="A29" s="3" t="s">
        <v>51</v>
      </c>
      <c r="B29" s="4" t="s">
        <v>52</v>
      </c>
      <c r="C29" s="4" t="s">
        <v>53</v>
      </c>
      <c r="D29" s="3" t="n">
        <v>4.0</v>
      </c>
      <c r="E29" s="4" t="s">
        <v>54</v>
      </c>
      <c r="F29" s="4" t="s">
        <v>55</v>
      </c>
      <c r="G29" s="4" t="s">
        <v>56</v>
      </c>
      <c r="H29" s="5" t="n">
        <f>1216.0</f>
        <v>1216.0</v>
      </c>
    </row>
    <row r="30">
      <c r="A30" s="3" t="s">
        <v>51</v>
      </c>
      <c r="B30" s="4" t="s">
        <v>52</v>
      </c>
      <c r="C30" s="4" t="s">
        <v>53</v>
      </c>
      <c r="D30" s="3" t="n">
        <v>5.0</v>
      </c>
      <c r="E30" s="4" t="s">
        <v>43</v>
      </c>
      <c r="F30" s="4" t="s">
        <v>44</v>
      </c>
      <c r="G30" s="4" t="s">
        <v>45</v>
      </c>
      <c r="H30" s="5" t="n">
        <f>28.0</f>
        <v>28.0</v>
      </c>
    </row>
    <row r="31">
      <c r="A31" s="3" t="s">
        <v>51</v>
      </c>
      <c r="B31" s="4" t="s">
        <v>52</v>
      </c>
      <c r="C31" s="4" t="s">
        <v>53</v>
      </c>
      <c r="D31" s="3" t="n">
        <v>6.0</v>
      </c>
      <c r="E31" s="4" t="s">
        <v>28</v>
      </c>
      <c r="F31" s="4" t="s">
        <v>29</v>
      </c>
      <c r="G31" s="4" t="s">
        <v>30</v>
      </c>
      <c r="H31" s="5" t="n">
        <f>2.0</f>
        <v>2.0</v>
      </c>
    </row>
    <row r="32">
      <c r="A32" s="3" t="s">
        <v>51</v>
      </c>
      <c r="B32" s="4" t="s">
        <v>57</v>
      </c>
      <c r="C32" s="4" t="s">
        <v>58</v>
      </c>
      <c r="D32" s="3" t="n">
        <v>1.0</v>
      </c>
      <c r="E32" s="4" t="s">
        <v>25</v>
      </c>
      <c r="F32" s="4" t="s">
        <v>26</v>
      </c>
      <c r="G32" s="4" t="s">
        <v>27</v>
      </c>
      <c r="H32" s="5" t="n">
        <f>280.0</f>
        <v>280.0</v>
      </c>
    </row>
    <row r="33">
      <c r="A33" s="3" t="s">
        <v>51</v>
      </c>
      <c r="B33" s="4" t="s">
        <v>57</v>
      </c>
      <c r="C33" s="4" t="s">
        <v>58</v>
      </c>
      <c r="D33" s="3" t="n">
        <v>2.0</v>
      </c>
      <c r="E33" s="4" t="s">
        <v>22</v>
      </c>
      <c r="F33" s="4" t="s">
        <v>23</v>
      </c>
      <c r="G33" s="4" t="s">
        <v>24</v>
      </c>
      <c r="H33" s="5" t="n">
        <f>102.0</f>
        <v>102.0</v>
      </c>
    </row>
    <row r="34">
      <c r="A34" s="3" t="s">
        <v>51</v>
      </c>
      <c r="B34" s="4" t="s">
        <v>57</v>
      </c>
      <c r="C34" s="4" t="s">
        <v>58</v>
      </c>
      <c r="D34" s="3" t="n">
        <v>3.0</v>
      </c>
      <c r="E34" s="4" t="s">
        <v>34</v>
      </c>
      <c r="F34" s="4" t="s">
        <v>35</v>
      </c>
      <c r="G34" s="4" t="s">
        <v>36</v>
      </c>
      <c r="H34" s="5" t="n">
        <f>52.0</f>
        <v>52.0</v>
      </c>
    </row>
    <row r="35">
      <c r="A35" s="3" t="s">
        <v>51</v>
      </c>
      <c r="B35" s="4" t="s">
        <v>59</v>
      </c>
      <c r="C35" s="4" t="s">
        <v>60</v>
      </c>
      <c r="D35" s="3" t="n">
        <v>1.0</v>
      </c>
      <c r="E35" s="4" t="s">
        <v>22</v>
      </c>
      <c r="F35" s="4" t="s">
        <v>23</v>
      </c>
      <c r="G35" s="4" t="s">
        <v>24</v>
      </c>
      <c r="H35" s="5" t="n">
        <f>34.0</f>
        <v>34.0</v>
      </c>
    </row>
    <row r="36">
      <c r="A36" s="3" t="s">
        <v>61</v>
      </c>
      <c r="B36" s="4" t="s">
        <v>62</v>
      </c>
      <c r="C36" s="4" t="s">
        <v>63</v>
      </c>
      <c r="D36" s="3" t="n">
        <v>1.0</v>
      </c>
      <c r="E36" s="4" t="s">
        <v>19</v>
      </c>
      <c r="F36" s="4" t="s">
        <v>20</v>
      </c>
      <c r="G36" s="4" t="s">
        <v>21</v>
      </c>
      <c r="H36" s="5" t="n">
        <f>10212.0</f>
        <v>10212.0</v>
      </c>
    </row>
    <row r="37">
      <c r="A37" s="3" t="s">
        <v>61</v>
      </c>
      <c r="B37" s="4" t="s">
        <v>62</v>
      </c>
      <c r="C37" s="4" t="s">
        <v>63</v>
      </c>
      <c r="D37" s="3" t="n">
        <v>2.0</v>
      </c>
      <c r="E37" s="4" t="s">
        <v>54</v>
      </c>
      <c r="F37" s="4" t="s">
        <v>55</v>
      </c>
      <c r="G37" s="4" t="s">
        <v>56</v>
      </c>
      <c r="H37" s="5" t="n">
        <f>5068.0</f>
        <v>5068.0</v>
      </c>
    </row>
    <row r="38">
      <c r="A38" s="3" t="s">
        <v>61</v>
      </c>
      <c r="B38" s="4" t="s">
        <v>62</v>
      </c>
      <c r="C38" s="4" t="s">
        <v>63</v>
      </c>
      <c r="D38" s="3" t="n">
        <v>3.0</v>
      </c>
      <c r="E38" s="4" t="s">
        <v>64</v>
      </c>
      <c r="F38" s="4" t="s">
        <v>65</v>
      </c>
      <c r="G38" s="4" t="s">
        <v>66</v>
      </c>
      <c r="H38" s="5" t="n">
        <f>4594.0</f>
        <v>4594.0</v>
      </c>
    </row>
    <row r="39">
      <c r="A39" s="3" t="s">
        <v>61</v>
      </c>
      <c r="B39" s="4" t="s">
        <v>62</v>
      </c>
      <c r="C39" s="4" t="s">
        <v>63</v>
      </c>
      <c r="D39" s="3" t="n">
        <v>4.0</v>
      </c>
      <c r="E39" s="4" t="s">
        <v>67</v>
      </c>
      <c r="F39" s="4" t="s">
        <v>68</v>
      </c>
      <c r="G39" s="4" t="s">
        <v>69</v>
      </c>
      <c r="H39" s="5" t="n">
        <f>3158.0</f>
        <v>3158.0</v>
      </c>
    </row>
    <row r="40">
      <c r="A40" s="3" t="s">
        <v>61</v>
      </c>
      <c r="B40" s="4" t="s">
        <v>62</v>
      </c>
      <c r="C40" s="4" t="s">
        <v>63</v>
      </c>
      <c r="D40" s="3" t="n">
        <v>5.0</v>
      </c>
      <c r="E40" s="4" t="s">
        <v>37</v>
      </c>
      <c r="F40" s="4" t="s">
        <v>38</v>
      </c>
      <c r="G40" s="4" t="s">
        <v>39</v>
      </c>
      <c r="H40" s="5" t="n">
        <f>204.0</f>
        <v>204.0</v>
      </c>
    </row>
    <row r="41">
      <c r="A41" s="3" t="s">
        <v>61</v>
      </c>
      <c r="B41" s="4" t="s">
        <v>62</v>
      </c>
      <c r="C41" s="4" t="s">
        <v>63</v>
      </c>
      <c r="D41" s="3" t="n">
        <v>6.0</v>
      </c>
      <c r="E41" s="4" t="s">
        <v>31</v>
      </c>
      <c r="F41" s="4" t="s">
        <v>32</v>
      </c>
      <c r="G41" s="4" t="s">
        <v>33</v>
      </c>
      <c r="H41" s="5" t="n">
        <f>200.0</f>
        <v>200.0</v>
      </c>
    </row>
    <row r="42">
      <c r="A42" s="3" t="s">
        <v>61</v>
      </c>
      <c r="B42" s="4" t="s">
        <v>62</v>
      </c>
      <c r="C42" s="4" t="s">
        <v>63</v>
      </c>
      <c r="D42" s="3" t="n">
        <v>7.0</v>
      </c>
      <c r="E42" s="4" t="s">
        <v>43</v>
      </c>
      <c r="F42" s="4" t="s">
        <v>44</v>
      </c>
      <c r="G42" s="4" t="s">
        <v>45</v>
      </c>
      <c r="H42" s="5" t="n">
        <f>118.0</f>
        <v>118.0</v>
      </c>
    </row>
    <row r="43">
      <c r="A43" s="3" t="s">
        <v>61</v>
      </c>
      <c r="B43" s="4" t="s">
        <v>70</v>
      </c>
      <c r="C43" s="4" t="s">
        <v>71</v>
      </c>
      <c r="D43" s="3" t="n">
        <v>1.0</v>
      </c>
      <c r="E43" s="4" t="s">
        <v>19</v>
      </c>
      <c r="F43" s="4" t="s">
        <v>20</v>
      </c>
      <c r="G43" s="4" t="s">
        <v>21</v>
      </c>
      <c r="H43" s="5" t="n">
        <f>10212.0</f>
        <v>10212.0</v>
      </c>
    </row>
    <row r="44">
      <c r="A44" s="3" t="s">
        <v>61</v>
      </c>
      <c r="B44" s="4" t="s">
        <v>70</v>
      </c>
      <c r="C44" s="4" t="s">
        <v>71</v>
      </c>
      <c r="D44" s="3" t="n">
        <v>2.0</v>
      </c>
      <c r="E44" s="4" t="s">
        <v>54</v>
      </c>
      <c r="F44" s="4" t="s">
        <v>55</v>
      </c>
      <c r="G44" s="4" t="s">
        <v>56</v>
      </c>
      <c r="H44" s="5" t="n">
        <f>5068.0</f>
        <v>5068.0</v>
      </c>
    </row>
    <row r="45">
      <c r="A45" s="3" t="s">
        <v>61</v>
      </c>
      <c r="B45" s="4" t="s">
        <v>70</v>
      </c>
      <c r="C45" s="4" t="s">
        <v>71</v>
      </c>
      <c r="D45" s="3" t="n">
        <v>3.0</v>
      </c>
      <c r="E45" s="4" t="s">
        <v>64</v>
      </c>
      <c r="F45" s="4" t="s">
        <v>65</v>
      </c>
      <c r="G45" s="4" t="s">
        <v>66</v>
      </c>
      <c r="H45" s="5" t="n">
        <f>4594.0</f>
        <v>4594.0</v>
      </c>
    </row>
    <row r="46">
      <c r="A46" s="3" t="s">
        <v>61</v>
      </c>
      <c r="B46" s="4" t="s">
        <v>70</v>
      </c>
      <c r="C46" s="4" t="s">
        <v>71</v>
      </c>
      <c r="D46" s="3" t="n">
        <v>4.0</v>
      </c>
      <c r="E46" s="4" t="s">
        <v>67</v>
      </c>
      <c r="F46" s="4" t="s">
        <v>68</v>
      </c>
      <c r="G46" s="4" t="s">
        <v>69</v>
      </c>
      <c r="H46" s="5" t="n">
        <f>3158.0</f>
        <v>3158.0</v>
      </c>
    </row>
    <row r="47">
      <c r="A47" s="3" t="s">
        <v>61</v>
      </c>
      <c r="B47" s="4" t="s">
        <v>70</v>
      </c>
      <c r="C47" s="4" t="s">
        <v>71</v>
      </c>
      <c r="D47" s="3" t="n">
        <v>5.0</v>
      </c>
      <c r="E47" s="4" t="s">
        <v>37</v>
      </c>
      <c r="F47" s="4" t="s">
        <v>38</v>
      </c>
      <c r="G47" s="4" t="s">
        <v>39</v>
      </c>
      <c r="H47" s="5" t="n">
        <f>200.0</f>
        <v>200.0</v>
      </c>
    </row>
    <row r="48">
      <c r="A48" s="3" t="s">
        <v>61</v>
      </c>
      <c r="B48" s="4" t="s">
        <v>70</v>
      </c>
      <c r="C48" s="4" t="s">
        <v>71</v>
      </c>
      <c r="D48" s="3" t="n">
        <v>5.0</v>
      </c>
      <c r="E48" s="4" t="s">
        <v>31</v>
      </c>
      <c r="F48" s="4" t="s">
        <v>32</v>
      </c>
      <c r="G48" s="4" t="s">
        <v>33</v>
      </c>
      <c r="H48" s="5" t="n">
        <f>200.0</f>
        <v>200.0</v>
      </c>
    </row>
    <row r="49">
      <c r="A49" s="3" t="s">
        <v>72</v>
      </c>
      <c r="B49" s="4" t="s">
        <v>73</v>
      </c>
      <c r="C49" s="4" t="s">
        <v>74</v>
      </c>
      <c r="D49" s="3" t="n">
        <v>1.0</v>
      </c>
      <c r="E49" s="4" t="s">
        <v>22</v>
      </c>
      <c r="F49" s="4" t="s">
        <v>23</v>
      </c>
      <c r="G49" s="4" t="s">
        <v>24</v>
      </c>
      <c r="H49" s="5" t="n">
        <f>18.0</f>
        <v>18.0</v>
      </c>
    </row>
    <row r="50">
      <c r="A50" s="3" t="s">
        <v>72</v>
      </c>
      <c r="B50" s="4" t="s">
        <v>75</v>
      </c>
      <c r="C50" s="4" t="s">
        <v>76</v>
      </c>
      <c r="D50" s="3" t="n">
        <v>1.0</v>
      </c>
      <c r="E50" s="4" t="s">
        <v>22</v>
      </c>
      <c r="F50" s="4" t="s">
        <v>23</v>
      </c>
      <c r="G50" s="4" t="s">
        <v>24</v>
      </c>
      <c r="H50" s="5" t="n">
        <f>2.0</f>
        <v>2.0</v>
      </c>
    </row>
    <row r="51">
      <c r="A51" s="3" t="s">
        <v>72</v>
      </c>
      <c r="B51" s="4" t="s">
        <v>77</v>
      </c>
      <c r="C51" s="4" t="s">
        <v>78</v>
      </c>
      <c r="D51" s="3" t="n">
        <v>1.0</v>
      </c>
      <c r="E51" s="4" t="s">
        <v>19</v>
      </c>
      <c r="F51" s="4" t="s">
        <v>20</v>
      </c>
      <c r="G51" s="4" t="s">
        <v>21</v>
      </c>
      <c r="H51" s="5" t="n">
        <f>25.0</f>
        <v>25.0</v>
      </c>
    </row>
    <row r="52">
      <c r="A52" s="3" t="s">
        <v>72</v>
      </c>
      <c r="B52" s="4" t="s">
        <v>77</v>
      </c>
      <c r="C52" s="4" t="s">
        <v>78</v>
      </c>
      <c r="D52" s="3" t="n">
        <v>1.0</v>
      </c>
      <c r="E52" s="4" t="s">
        <v>16</v>
      </c>
      <c r="F52" s="4" t="s">
        <v>17</v>
      </c>
      <c r="G52" s="4" t="s">
        <v>18</v>
      </c>
      <c r="H52" s="5" t="n">
        <f>25.0</f>
        <v>25.0</v>
      </c>
    </row>
    <row r="53">
      <c r="A53" s="3" t="s">
        <v>72</v>
      </c>
      <c r="B53" s="4" t="s">
        <v>77</v>
      </c>
      <c r="C53" s="4" t="s">
        <v>78</v>
      </c>
      <c r="D53" s="3" t="n">
        <v>3.0</v>
      </c>
      <c r="E53" s="4" t="s">
        <v>22</v>
      </c>
      <c r="F53" s="4" t="s">
        <v>23</v>
      </c>
      <c r="G53" s="4" t="s">
        <v>24</v>
      </c>
      <c r="H53" s="5" t="n">
        <f>16.0</f>
        <v>16.0</v>
      </c>
    </row>
    <row r="54">
      <c r="A54" s="3" t="s">
        <v>72</v>
      </c>
      <c r="B54" s="4" t="s">
        <v>79</v>
      </c>
      <c r="C54" s="4" t="s">
        <v>80</v>
      </c>
      <c r="D54" s="3" t="n">
        <v>1.0</v>
      </c>
      <c r="E54" s="4" t="s">
        <v>22</v>
      </c>
      <c r="F54" s="4" t="s">
        <v>23</v>
      </c>
      <c r="G54" s="4" t="s">
        <v>24</v>
      </c>
      <c r="H54" s="5" t="n">
        <f>2.0</f>
        <v>2.0</v>
      </c>
    </row>
    <row r="55">
      <c r="A55" s="3" t="s">
        <v>72</v>
      </c>
      <c r="B55" s="4" t="s">
        <v>81</v>
      </c>
      <c r="C55" s="4" t="s">
        <v>82</v>
      </c>
      <c r="D55" s="3" t="n">
        <v>1.0</v>
      </c>
      <c r="E55" s="4" t="s">
        <v>22</v>
      </c>
      <c r="F55" s="4" t="s">
        <v>23</v>
      </c>
      <c r="G55" s="4" t="s">
        <v>24</v>
      </c>
      <c r="H55" s="5" t="n">
        <f>4.0</f>
        <v>4.0</v>
      </c>
    </row>
    <row r="56">
      <c r="A56" s="3" t="s">
        <v>72</v>
      </c>
      <c r="B56" s="4" t="s">
        <v>83</v>
      </c>
      <c r="C56" s="4" t="s">
        <v>84</v>
      </c>
      <c r="D56" s="3" t="n">
        <v>1.0</v>
      </c>
      <c r="E56" s="4" t="s">
        <v>25</v>
      </c>
      <c r="F56" s="4" t="s">
        <v>26</v>
      </c>
      <c r="G56" s="4" t="s">
        <v>27</v>
      </c>
      <c r="H56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