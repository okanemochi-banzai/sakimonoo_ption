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<sst xmlns="http://schemas.openxmlformats.org/spreadsheetml/2006/main" count="528" uniqueCount="129">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</sst>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DATE(2026,10,02)</f>
        <v>46297.0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DATE(2026,10,02)</f>
        <v>46297.0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1095386.0</f>
        <v>1095386.0</v>
      </c>
      <c r="E12" s="18" t="n">
        <f>51209.0</f>
        <v>51209.0</v>
      </c>
      <c r="F12" s="19" t="n">
        <f>1.0</f>
        <v>1.0</v>
      </c>
      <c r="G12" s="17" t="n">
        <f>8544226609330.0</f>
        <v>8.54422660933E12</v>
      </c>
      <c r="H12" s="18" t="n">
        <f>534858838480.0</f>
        <v>5.3485883848E11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402819.0</f>
        <v>402819.0</v>
      </c>
      <c r="E13" s="22" t="n">
        <f>17531.0</f>
        <v>17531.0</v>
      </c>
      <c r="F13" s="23" t="n">
        <f>1.0</f>
        <v>1.0</v>
      </c>
      <c r="G13" s="21" t="n">
        <f>4802988857945.0</f>
        <v>4.802988857945E12</v>
      </c>
      <c r="H13" s="22" t="n">
        <f>372173523770.0</f>
        <v>3.7217352377E11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379180.0</f>
        <v>379180.0</v>
      </c>
      <c r="E14" s="22" t="n">
        <f>29723.0</f>
        <v>29723.0</v>
      </c>
      <c r="F14" s="23" t="n">
        <f>1.0</f>
        <v>1.0</v>
      </c>
      <c r="G14" s="21" t="n">
        <f>5564967417689.0</f>
        <v>5.564967417689E12</v>
      </c>
      <c r="H14" s="22" t="n">
        <f>1155154948014.0</f>
        <v>1.155154948014E12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1877385.0</f>
        <v>1877385.0</v>
      </c>
      <c r="E15" s="26" t="n">
        <f>98463.0</f>
        <v>98463.0</v>
      </c>
      <c r="F15" s="27" t="n">
        <f>1.0</f>
        <v>1.0</v>
      </c>
      <c r="G15" s="25" t="n">
        <f>18912182884964.0</f>
        <v>1.8912182884964E13</v>
      </c>
      <c r="H15" s="26" t="n">
        <f>2062187310264.0</f>
        <v>2.062187310264E12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26003.0</f>
        <v>26003.0</v>
      </c>
      <c r="E16" s="18" t="n">
        <f>149.0</f>
        <v>149.0</v>
      </c>
      <c r="F16" s="19" t="n">
        <f>0.024</f>
        <v>0.024</v>
      </c>
      <c r="G16" s="17" t="n">
        <f>3085975047500.0</f>
        <v>3.0859750475E12</v>
      </c>
      <c r="H16" s="18" t="n">
        <f>18532015000.0</f>
        <v>1.8532015E10</v>
      </c>
      <c r="I16" s="19" t="n">
        <f>0.361</f>
        <v>0.361</v>
      </c>
    </row>
    <row r="17" spans="1:9" ht="24.9" customHeight="1">
      <c r="A17" s="41"/>
      <c r="B17" s="39"/>
      <c r="C17" s="20" t="s">
        <v>16</v>
      </c>
      <c r="D17" s="21" t="n">
        <f>19433.0</f>
        <v>19433.0</v>
      </c>
      <c r="E17" s="22" t="n">
        <f>824.0</f>
        <v>824.0</v>
      </c>
      <c r="F17" s="23" t="n">
        <f>0.048</f>
        <v>0.048</v>
      </c>
      <c r="G17" s="21" t="n">
        <f>2175769373375.0</f>
        <v>2.175769373375E12</v>
      </c>
      <c r="H17" s="22" t="n">
        <f>102626235000.0</f>
        <v>1.02626235E11</v>
      </c>
      <c r="I17" s="23" t="n">
        <f>0.453</f>
        <v>0.453</v>
      </c>
    </row>
    <row r="18" spans="1:9" ht="24.9" customHeight="1">
      <c r="A18" s="41"/>
      <c r="B18" s="39"/>
      <c r="C18" s="20" t="s">
        <v>17</v>
      </c>
      <c r="D18" s="21" t="n">
        <f>18178.0</f>
        <v>18178.0</v>
      </c>
      <c r="E18" s="22" t="n">
        <f>1547.0</f>
        <v>1547.0</v>
      </c>
      <c r="F18" s="23" t="n">
        <f>0.048</f>
        <v>0.048</v>
      </c>
      <c r="G18" s="21" t="n">
        <f>1812456080875.0</f>
        <v>1.812456080875E12</v>
      </c>
      <c r="H18" s="22" t="n">
        <f>192506785000.0</f>
        <v>1.92506785E11</v>
      </c>
      <c r="I18" s="23" t="n">
        <f>0.326</f>
        <v>0.326</v>
      </c>
    </row>
    <row r="19" spans="1:9" ht="24.9" customHeight="1">
      <c r="A19" s="41"/>
      <c r="B19" s="39"/>
      <c r="C19" s="24" t="s">
        <v>18</v>
      </c>
      <c r="D19" s="25" t="n">
        <f>63614.0</f>
        <v>63614.0</v>
      </c>
      <c r="E19" s="26" t="n">
        <f>2520.0</f>
        <v>2520.0</v>
      </c>
      <c r="F19" s="27" t="n">
        <f>0.034</f>
        <v>0.034</v>
      </c>
      <c r="G19" s="25" t="n">
        <f>7074200501750.0</f>
        <v>7.07420050175E12</v>
      </c>
      <c r="H19" s="26" t="n">
        <f>313665035000.0</f>
        <v>3.13665035E11</v>
      </c>
      <c r="I19" s="27" t="n">
        <f>0.374</f>
        <v>0.374</v>
      </c>
    </row>
    <row r="20" spans="1:9" ht="24.9" customHeight="1">
      <c r="A20" s="41"/>
      <c r="B20" s="39" t="s">
        <v>21</v>
      </c>
      <c r="C20" s="16" t="s">
        <v>15</v>
      </c>
      <c r="D20" s="17" t="n">
        <f>1054667.0</f>
        <v>1054667.0</v>
      </c>
      <c r="E20" s="18" t="n">
        <f>51040.0</f>
        <v>51040.0</v>
      </c>
      <c r="F20" s="19" t="n">
        <f>0.963</f>
        <v>0.963</v>
      </c>
      <c r="G20" s="17" t="n">
        <f>5310839301930.0</f>
        <v>5.31083930193E12</v>
      </c>
      <c r="H20" s="18" t="n">
        <f>516296617080.0</f>
        <v>5.1629661708E11</v>
      </c>
      <c r="I20" s="19" t="n">
        <f>0.622</f>
        <v>0.622</v>
      </c>
    </row>
    <row r="21" spans="1:9" ht="24.9" customHeight="1">
      <c r="A21" s="41"/>
      <c r="B21" s="39"/>
      <c r="C21" s="20" t="s">
        <v>16</v>
      </c>
      <c r="D21" s="21" t="n">
        <f>377482.0</f>
        <v>377482.0</v>
      </c>
      <c r="E21" s="22" t="n">
        <f>16707.0</f>
        <v>16707.0</v>
      </c>
      <c r="F21" s="23" t="n">
        <f>0.937</f>
        <v>0.937</v>
      </c>
      <c r="G21" s="21" t="n">
        <f>2567031680570.0</f>
        <v>2.56703168057E12</v>
      </c>
      <c r="H21" s="22" t="n">
        <f>269547288770.0</f>
        <v>2.6954728877E11</v>
      </c>
      <c r="I21" s="23" t="n">
        <f>0.534</f>
        <v>0.534</v>
      </c>
    </row>
    <row r="22" spans="1:9" ht="24.9" customHeight="1">
      <c r="A22" s="41"/>
      <c r="B22" s="39"/>
      <c r="C22" s="20" t="s">
        <v>17</v>
      </c>
      <c r="D22" s="21" t="n">
        <f>351768.0</f>
        <v>351768.0</v>
      </c>
      <c r="E22" s="22" t="n">
        <f>28176.0</f>
        <v>28176.0</v>
      </c>
      <c r="F22" s="23" t="n">
        <f>0.928</f>
        <v>0.928</v>
      </c>
      <c r="G22" s="21" t="n">
        <f>3688073184864.0</f>
        <v>3.688073184864E12</v>
      </c>
      <c r="H22" s="22" t="n">
        <f>962648163014.0</f>
        <v>9.62648163014E11</v>
      </c>
      <c r="I22" s="23" t="n">
        <f>0.663</f>
        <v>0.663</v>
      </c>
    </row>
    <row r="23" spans="1:9" ht="24.9" customHeight="1">
      <c r="A23" s="41"/>
      <c r="B23" s="39"/>
      <c r="C23" s="24" t="s">
        <v>18</v>
      </c>
      <c r="D23" s="25" t="n">
        <f>1783917.0</f>
        <v>1783917.0</v>
      </c>
      <c r="E23" s="26" t="n">
        <f>95923.0</f>
        <v>95923.0</v>
      </c>
      <c r="F23" s="27" t="n">
        <f>0.95</f>
        <v>0.95</v>
      </c>
      <c r="G23" s="25" t="n">
        <f>11565944167364.0</f>
        <v>1.1565944167364E13</v>
      </c>
      <c r="H23" s="26" t="n">
        <f>1748492068864.0</f>
        <v>1.748492068864E12</v>
      </c>
      <c r="I23" s="27" t="n">
        <f>0.612</f>
        <v>0.612</v>
      </c>
    </row>
    <row r="24" spans="1:9" ht="24.9" customHeight="1">
      <c r="A24" s="41"/>
      <c r="B24" s="39" t="s">
        <v>22</v>
      </c>
      <c r="C24" s="16" t="s">
        <v>15</v>
      </c>
      <c r="D24" s="17" t="n">
        <f>14259.0</f>
        <v>14259.0</v>
      </c>
      <c r="E24" s="18" t="n">
        <f>0.0</f>
        <v>0.0</v>
      </c>
      <c r="F24" s="19" t="n">
        <f>0.013</f>
        <v>0.013</v>
      </c>
      <c r="G24" s="17" t="n">
        <f>145433795000.0</f>
        <v>1.45433795E11</v>
      </c>
      <c r="H24" s="18" t="n">
        <f>0.0</f>
        <v>0.0</v>
      </c>
      <c r="I24" s="19" t="n">
        <f>0.017</f>
        <v>0.017</v>
      </c>
    </row>
    <row r="25" spans="1:9" ht="24.9" customHeight="1">
      <c r="A25" s="41"/>
      <c r="B25" s="39"/>
      <c r="C25" s="20" t="s">
        <v>16</v>
      </c>
      <c r="D25" s="21" t="n">
        <f>5491.0</f>
        <v>5491.0</v>
      </c>
      <c r="E25" s="22" t="n">
        <f>0.0</f>
        <v>0.0</v>
      </c>
      <c r="F25" s="23" t="n">
        <f>0.014</f>
        <v>0.014</v>
      </c>
      <c r="G25" s="21" t="n">
        <f>58321975000.0</f>
        <v>5.8321975E10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7202.0</f>
        <v>7202.0</v>
      </c>
      <c r="E26" s="22" t="n">
        <f>0.0</f>
        <v>0.0</v>
      </c>
      <c r="F26" s="23" t="n">
        <f>0.019</f>
        <v>0.019</v>
      </c>
      <c r="G26" s="21" t="n">
        <f>55237353450.0</f>
        <v>5.523735345E10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26952.0</f>
        <v>26952.0</v>
      </c>
      <c r="E27" s="26" t="n">
        <f>0.0</f>
        <v>0.0</v>
      </c>
      <c r="F27" s="27" t="n">
        <f>0.014</f>
        <v>0.014</v>
      </c>
      <c r="G27" s="25" t="n">
        <f>258993123450.0</f>
        <v>2.5899312345E11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457.0</f>
        <v>457.0</v>
      </c>
      <c r="E28" s="18" t="n">
        <f>20.0</f>
        <v>20.0</v>
      </c>
      <c r="F28" s="19" t="n">
        <f>0.0</f>
        <v>0.0</v>
      </c>
      <c r="G28" s="17" t="n">
        <f>1978464900.0</f>
        <v>1.9784649E9</v>
      </c>
      <c r="H28" s="18" t="n">
        <f>30206400.0</f>
        <v>3.02064E7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413.0</f>
        <v>413.0</v>
      </c>
      <c r="E29" s="22" t="n">
        <f>0.0</f>
        <v>0.0</v>
      </c>
      <c r="F29" s="23" t="n">
        <f>0.001</f>
        <v>0.001</v>
      </c>
      <c r="G29" s="21" t="n">
        <f>1865829000.0</f>
        <v>1.865829E9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2032.0</f>
        <v>2032.0</v>
      </c>
      <c r="E30" s="22" t="n">
        <f>0.0</f>
        <v>0.0</v>
      </c>
      <c r="F30" s="23" t="n">
        <f>0.005</f>
        <v>0.005</v>
      </c>
      <c r="G30" s="21" t="n">
        <f>9200798500.0</f>
        <v>9.2007985E9</v>
      </c>
      <c r="H30" s="22" t="n">
        <f>0.0</f>
        <v>0.0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2902.0</f>
        <v>2902.0</v>
      </c>
      <c r="E31" s="26" t="n">
        <f>20.0</f>
        <v>20.0</v>
      </c>
      <c r="F31" s="27" t="n">
        <f>0.002</f>
        <v>0.002</v>
      </c>
      <c r="G31" s="25" t="n">
        <f>13045092400.0</f>
        <v>1.30450924E10</v>
      </c>
      <c r="H31" s="26" t="n">
        <f>30206400.0</f>
        <v>3.02064E7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46297.0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46297.0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27853</f>
        <v>27853.0</v>
      </c>
      <c r="E11" s="18" t="n">
        <f>3739</f>
        <v>3739.0</v>
      </c>
      <c r="F11" s="19" t="n">
        <f>1</f>
        <v>1.0</v>
      </c>
      <c r="G11" s="17" t="n">
        <f>3286320970</f>
        <v>3.28632097E9</v>
      </c>
      <c r="H11" s="18" t="n">
        <f>1133803870</f>
        <v>1.13380387E9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27874</f>
        <v>27874.0</v>
      </c>
      <c r="E12" s="22" t="n">
        <f>8852</f>
        <v>8852.0</v>
      </c>
      <c r="F12" s="23" t="n">
        <f>1</f>
        <v>1.0</v>
      </c>
      <c r="G12" s="21" t="n">
        <f>7483636346</f>
        <v>7.483636346E9</v>
      </c>
      <c r="H12" s="22" t="n">
        <f>6113549510</f>
        <v>6.11354951E9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50551</f>
        <v>50551.0</v>
      </c>
      <c r="E13" s="22" t="n">
        <f>32007</f>
        <v>32007.0</v>
      </c>
      <c r="F13" s="23" t="n">
        <f>1</f>
        <v>1.0</v>
      </c>
      <c r="G13" s="21" t="n">
        <f>12952477912</f>
        <v>1.2952477912E10</v>
      </c>
      <c r="H13" s="22" t="n">
        <f>10785697497</f>
        <v>1.0785697497E10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106278</f>
        <v>106278.0</v>
      </c>
      <c r="E14" s="26" t="n">
        <f>44598</f>
        <v>44598.0</v>
      </c>
      <c r="F14" s="27" t="n">
        <f>1</f>
        <v>1.0</v>
      </c>
      <c r="G14" s="25" t="n">
        <f>23722435228</f>
        <v>2.3722435228E10</v>
      </c>
      <c r="H14" s="26" t="n">
        <f>18033050877</f>
        <v>1.8033050877E10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42</f>
        <v>42.0</v>
      </c>
      <c r="E15" s="18" t="n">
        <f>0</f>
        <v>0.0</v>
      </c>
      <c r="F15" s="19" t="n">
        <f>0.002</f>
        <v>0.002</v>
      </c>
      <c r="G15" s="17" t="n">
        <f>15200000</f>
        <v>1.52E7</v>
      </c>
      <c r="H15" s="18" t="n">
        <f>0</f>
        <v>0.0</v>
      </c>
      <c r="I15" s="19" t="n">
        <f>0.005</f>
        <v>0.005</v>
      </c>
    </row>
    <row r="16" spans="1:9" ht="24.9" customHeight="1">
      <c r="A16" s="41"/>
      <c r="B16" s="39"/>
      <c r="C16" s="20" t="s">
        <v>16</v>
      </c>
      <c r="D16" s="21" t="n">
        <f>18</f>
        <v>18.0</v>
      </c>
      <c r="E16" s="22" t="n">
        <f>0</f>
        <v>0.0</v>
      </c>
      <c r="F16" s="23" t="n">
        <f>0.001</f>
        <v>0.001</v>
      </c>
      <c r="G16" s="21" t="n">
        <f>3030000</f>
        <v>3030000.0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54</f>
        <v>54.0</v>
      </c>
      <c r="E17" s="22" t="n">
        <f>1</f>
        <v>1.0</v>
      </c>
      <c r="F17" s="23" t="n">
        <f>0.001</f>
        <v>0.001</v>
      </c>
      <c r="G17" s="21" t="n">
        <f>13510000</f>
        <v>1.351E7</v>
      </c>
      <c r="H17" s="22" t="n">
        <f>10000</f>
        <v>10000.0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114</f>
        <v>114.0</v>
      </c>
      <c r="E18" s="26" t="n">
        <f>1</f>
        <v>1.0</v>
      </c>
      <c r="F18" s="27" t="n">
        <f>0.001</f>
        <v>0.001</v>
      </c>
      <c r="G18" s="25" t="n">
        <f>31740000</f>
        <v>3.174E7</v>
      </c>
      <c r="H18" s="26" t="n">
        <f>10000</f>
        <v>10000.0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27811</f>
        <v>27811.0</v>
      </c>
      <c r="E19" s="18" t="n">
        <f>3739</f>
        <v>3739.0</v>
      </c>
      <c r="F19" s="19" t="n">
        <f>0.998</f>
        <v>0.998</v>
      </c>
      <c r="G19" s="17" t="n">
        <f>3271120970</f>
        <v>3.27112097E9</v>
      </c>
      <c r="H19" s="18" t="n">
        <f>1133803870</f>
        <v>1.13380387E9</v>
      </c>
      <c r="I19" s="19" t="n">
        <f>0.995</f>
        <v>0.995</v>
      </c>
    </row>
    <row r="20" spans="1:9" ht="24.9" customHeight="1">
      <c r="A20" s="41"/>
      <c r="B20" s="39"/>
      <c r="C20" s="20" t="s">
        <v>16</v>
      </c>
      <c r="D20" s="21" t="n">
        <f>16294</f>
        <v>16294.0</v>
      </c>
      <c r="E20" s="22" t="n">
        <f>6652</f>
        <v>6652.0</v>
      </c>
      <c r="F20" s="23" t="n">
        <f>0.585</f>
        <v>0.585</v>
      </c>
      <c r="G20" s="21" t="n">
        <f>7465060110</f>
        <v>7.46506011E9</v>
      </c>
      <c r="H20" s="22" t="n">
        <f>6109633510</f>
        <v>6.10963351E9</v>
      </c>
      <c r="I20" s="23" t="n">
        <f>0.998</f>
        <v>0.998</v>
      </c>
    </row>
    <row r="21" spans="1:9" ht="24.9" customHeight="1">
      <c r="A21" s="41"/>
      <c r="B21" s="39"/>
      <c r="C21" s="20" t="s">
        <v>17</v>
      </c>
      <c r="D21" s="21" t="n">
        <f>42404</f>
        <v>42404.0</v>
      </c>
      <c r="E21" s="22" t="n">
        <f>30406</f>
        <v>30406.0</v>
      </c>
      <c r="F21" s="23" t="n">
        <f>0.839</f>
        <v>0.839</v>
      </c>
      <c r="G21" s="21" t="n">
        <f>12862094397</f>
        <v>1.2862094397E10</v>
      </c>
      <c r="H21" s="22" t="n">
        <f>10732266497</f>
        <v>1.0732266497E10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86509</f>
        <v>86509.0</v>
      </c>
      <c r="E22" s="26" t="n">
        <f>40797</f>
        <v>40797.0</v>
      </c>
      <c r="F22" s="27" t="n">
        <f>0.814</f>
        <v>0.814</v>
      </c>
      <c r="G22" s="25" t="n">
        <f>23598275477</f>
        <v>2.3598275477E10</v>
      </c>
      <c r="H22" s="26" t="n">
        <f>17975703877</f>
        <v>1.7975703877E10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11562</f>
        <v>11562.0</v>
      </c>
      <c r="E24" s="22" t="n">
        <f>2200</f>
        <v>2200.0</v>
      </c>
      <c r="F24" s="23" t="n">
        <f>0.415</f>
        <v>0.415</v>
      </c>
      <c r="G24" s="21" t="n">
        <f>15546236</f>
        <v>1.5546236E7</v>
      </c>
      <c r="H24" s="22" t="n">
        <f>3916000</f>
        <v>3916000.0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8093</f>
        <v>8093.0</v>
      </c>
      <c r="E25" s="22" t="n">
        <f>1600</f>
        <v>1600.0</v>
      </c>
      <c r="F25" s="23" t="n">
        <f>0.16</f>
        <v>0.16</v>
      </c>
      <c r="G25" s="21" t="n">
        <f>76873515</f>
        <v>7.6873515E7</v>
      </c>
      <c r="H25" s="22" t="n">
        <f>53421000</f>
        <v>5.3421E7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19655</f>
        <v>19655.0</v>
      </c>
      <c r="E26" s="26" t="n">
        <f>3800</f>
        <v>3800.0</v>
      </c>
      <c r="F26" s="27" t="n">
        <f>0.185</f>
        <v>0.185</v>
      </c>
      <c r="G26" s="25" t="n">
        <f>92419751</f>
        <v>9.2419751E7</v>
      </c>
      <c r="H26" s="26" t="n">
        <f>57337000</f>
        <v>5.7337E7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46297.0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46297.0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15677.0</v>
      </c>
      <c r="F12" s="18" t="n">
        <f>1116</f>
        <v>1116.0</v>
      </c>
      <c r="G12" s="17" t="n">
        <v>1.071586133E12</v>
      </c>
      <c r="H12" s="18" t="n">
        <f>76245554000</f>
        <v>7.6245554E10</v>
      </c>
    </row>
    <row r="13" spans="1:8" ht="24.9" customHeight="1">
      <c r="A13" s="51"/>
      <c r="B13" s="57"/>
      <c r="C13" s="39"/>
      <c r="D13" s="20" t="s">
        <v>16</v>
      </c>
      <c r="E13" s="21" t="n">
        <v>9287.0</v>
      </c>
      <c r="F13" s="22" t="n">
        <f>1154</f>
        <v>1154.0</v>
      </c>
      <c r="G13" s="21" t="n">
        <v>6.371421856E11</v>
      </c>
      <c r="H13" s="22" t="n">
        <f>79539375600</f>
        <v>7.95393756E10</v>
      </c>
    </row>
    <row r="14" spans="1:8" ht="24.9" customHeight="1">
      <c r="A14" s="51"/>
      <c r="B14" s="57"/>
      <c r="C14" s="39"/>
      <c r="D14" s="20" t="s">
        <v>17</v>
      </c>
      <c r="E14" s="21" t="n">
        <v>17063.0</v>
      </c>
      <c r="F14" s="22" t="n">
        <f>6229</f>
        <v>6229.0</v>
      </c>
      <c r="G14" s="21" t="n">
        <v>1.16914869596E12</v>
      </c>
      <c r="H14" s="22" t="n">
        <f>427071952960</f>
        <v>4.2707195296E11</v>
      </c>
    </row>
    <row r="15" spans="1:8" ht="24.9" customHeight="1">
      <c r="A15" s="51"/>
      <c r="B15" s="57"/>
      <c r="C15" s="39"/>
      <c r="D15" s="24" t="s">
        <v>18</v>
      </c>
      <c r="E15" s="25" t="n">
        <v>42027.0</v>
      </c>
      <c r="F15" s="26" t="n">
        <f>8499</f>
        <v>8499.0</v>
      </c>
      <c r="G15" s="25" t="n">
        <v>2.87787701456E12</v>
      </c>
      <c r="H15" s="26" t="n">
        <f>582856882560</f>
        <v>5.8285688256E11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395606.0</v>
      </c>
      <c r="F16" s="18" t="n">
        <f>44828</f>
        <v>44828.0</v>
      </c>
      <c r="G16" s="17" t="n">
        <v>2.70382104896E12</v>
      </c>
      <c r="H16" s="18" t="n">
        <f>306404088460</f>
        <v>3.0640408846E11</v>
      </c>
    </row>
    <row r="17" spans="1:8" ht="24.9" customHeight="1">
      <c r="A17" s="51"/>
      <c r="B17" s="57"/>
      <c r="C17" s="39"/>
      <c r="D17" s="20" t="s">
        <v>16</v>
      </c>
      <c r="E17" s="21" t="n">
        <v>145849.0</v>
      </c>
      <c r="F17" s="22" t="n">
        <f>12759</f>
        <v>12759.0</v>
      </c>
      <c r="G17" s="21" t="n">
        <v>9.9994935021E11</v>
      </c>
      <c r="H17" s="22" t="n">
        <f>87477384210</f>
        <v>8.747738421E10</v>
      </c>
    </row>
    <row r="18" spans="1:8" ht="24.9" customHeight="1">
      <c r="A18" s="51"/>
      <c r="B18" s="57"/>
      <c r="C18" s="39"/>
      <c r="D18" s="20" t="s">
        <v>17</v>
      </c>
      <c r="E18" s="21" t="n">
        <v>140675.0</v>
      </c>
      <c r="F18" s="22" t="n">
        <f>10353</f>
        <v>10353.0</v>
      </c>
      <c r="G18" s="21" t="n">
        <v>9.63358590754E11</v>
      </c>
      <c r="H18" s="22" t="n">
        <f>70879935754</f>
        <v>7.0879935754E10</v>
      </c>
    </row>
    <row r="19" spans="1:8" ht="24.9" customHeight="1">
      <c r="A19" s="51"/>
      <c r="B19" s="57"/>
      <c r="C19" s="39"/>
      <c r="D19" s="24" t="s">
        <v>18</v>
      </c>
      <c r="E19" s="25" t="n">
        <v>682130.0</v>
      </c>
      <c r="F19" s="26" t="n">
        <f>67940</f>
        <v>67940.0</v>
      </c>
      <c r="G19" s="25" t="n">
        <v>4.667128989924E12</v>
      </c>
      <c r="H19" s="26" t="n">
        <f>464761408424</f>
        <v>4.64761408424E11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604661.0</v>
      </c>
      <c r="F20" s="18" t="str">
        <f>"－"</f>
        <v>－</v>
      </c>
      <c r="G20" s="17" t="n">
        <v>4.1329112055E11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194700.0</v>
      </c>
      <c r="F21" s="22" t="str">
        <f>"－"</f>
        <v>－</v>
      </c>
      <c r="G21" s="21" t="n">
        <v>1.334771417E11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150269.0</v>
      </c>
      <c r="F22" s="22" t="str">
        <f>"－"</f>
        <v>－</v>
      </c>
      <c r="G22" s="21" t="n">
        <v>1.02899718E11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949630.0</v>
      </c>
      <c r="F23" s="26" t="str">
        <f>"－"</f>
        <v>－</v>
      </c>
      <c r="G23" s="25" t="n">
        <v>6.4966798025E11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26240.0</v>
      </c>
      <c r="F24" s="18" t="n">
        <f>3129</f>
        <v>3129.0</v>
      </c>
      <c r="G24" s="17" t="n">
        <v>1.0781882034E12</v>
      </c>
      <c r="H24" s="18" t="n">
        <f>129635873400</f>
        <v>1.296358734E11</v>
      </c>
    </row>
    <row r="25" spans="1:8" ht="24.9" customHeight="1">
      <c r="A25" s="51"/>
      <c r="B25" s="57"/>
      <c r="C25" s="39"/>
      <c r="D25" s="20" t="s">
        <v>16</v>
      </c>
      <c r="E25" s="21" t="n">
        <v>18562.0</v>
      </c>
      <c r="F25" s="22" t="n">
        <f>2467</f>
        <v>2467.0</v>
      </c>
      <c r="G25" s="21" t="n">
        <v>7.626564332E11</v>
      </c>
      <c r="H25" s="22" t="n">
        <f>101225288200</f>
        <v>1.012252882E11</v>
      </c>
    </row>
    <row r="26" spans="1:8" ht="24.9" customHeight="1">
      <c r="A26" s="51"/>
      <c r="B26" s="57"/>
      <c r="C26" s="39"/>
      <c r="D26" s="20" t="s">
        <v>17</v>
      </c>
      <c r="E26" s="21" t="n">
        <v>34566.0</v>
      </c>
      <c r="F26" s="22" t="n">
        <f>11298</f>
        <v>11298.0</v>
      </c>
      <c r="G26" s="21" t="n">
        <v>1.4182875573E12</v>
      </c>
      <c r="H26" s="22" t="n">
        <f>463582977300</f>
        <v>4.635829773E11</v>
      </c>
    </row>
    <row r="27" spans="1:8" ht="24.9" customHeight="1">
      <c r="A27" s="51"/>
      <c r="B27" s="57"/>
      <c r="C27" s="39"/>
      <c r="D27" s="24" t="s">
        <v>18</v>
      </c>
      <c r="E27" s="25" t="n">
        <v>79368.0</v>
      </c>
      <c r="F27" s="26" t="n">
        <f>16894</f>
        <v>16894.0</v>
      </c>
      <c r="G27" s="25" t="n">
        <v>3.2591321939E12</v>
      </c>
      <c r="H27" s="26" t="n">
        <f>694444138900</f>
        <v>6.944441389E11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9245.0</v>
      </c>
      <c r="F28" s="18" t="n">
        <f>544</f>
        <v>544.0</v>
      </c>
      <c r="G28" s="17" t="n">
        <v>3.79719556E10</v>
      </c>
      <c r="H28" s="18" t="n">
        <f>2234620100</f>
        <v>2.2346201E9</v>
      </c>
    </row>
    <row r="29" spans="1:8" ht="24.9" customHeight="1">
      <c r="A29" s="51"/>
      <c r="B29" s="57"/>
      <c r="C29" s="39"/>
      <c r="D29" s="20" t="s">
        <v>16</v>
      </c>
      <c r="E29" s="21" t="n">
        <v>7530.0</v>
      </c>
      <c r="F29" s="22" t="n">
        <f>312</f>
        <v>312.0</v>
      </c>
      <c r="G29" s="21" t="n">
        <v>3.094528715E10</v>
      </c>
      <c r="H29" s="22" t="n">
        <f>1281849650</f>
        <v>1.28184965E9</v>
      </c>
    </row>
    <row r="30" spans="1:8" ht="24.9" customHeight="1">
      <c r="A30" s="51"/>
      <c r="B30" s="57"/>
      <c r="C30" s="39"/>
      <c r="D30" s="20" t="s">
        <v>17</v>
      </c>
      <c r="E30" s="21" t="n">
        <v>7688.0</v>
      </c>
      <c r="F30" s="22" t="n">
        <f>254</f>
        <v>254.0</v>
      </c>
      <c r="G30" s="21" t="n">
        <v>3.154200405E10</v>
      </c>
      <c r="H30" s="22" t="n">
        <f>1042302300</f>
        <v>1.0423023E9</v>
      </c>
    </row>
    <row r="31" spans="1:8" ht="24.9" customHeight="1">
      <c r="A31" s="51"/>
      <c r="B31" s="57"/>
      <c r="C31" s="39"/>
      <c r="D31" s="24" t="s">
        <v>18</v>
      </c>
      <c r="E31" s="25" t="n">
        <v>24463.0</v>
      </c>
      <c r="F31" s="26" t="n">
        <f>1110</f>
        <v>1110.0</v>
      </c>
      <c r="G31" s="25" t="n">
        <v>1.004592468E11</v>
      </c>
      <c r="H31" s="26" t="n">
        <f>4558772050</f>
        <v>4.55877205E9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352.0</v>
      </c>
      <c r="F36" s="18" t="n">
        <f>3</f>
        <v>3.0</v>
      </c>
      <c r="G36" s="17" t="n">
        <v>1.29657702E9</v>
      </c>
      <c r="H36" s="18" t="n">
        <f>11041520</f>
        <v>1.104152E7</v>
      </c>
    </row>
    <row r="37" spans="1:8" ht="24.9" customHeight="1">
      <c r="A37" s="51"/>
      <c r="B37" s="57"/>
      <c r="C37" s="39"/>
      <c r="D37" s="20" t="s">
        <v>16</v>
      </c>
      <c r="E37" s="21" t="n">
        <v>448.0</v>
      </c>
      <c r="F37" s="22" t="n">
        <f>1</f>
        <v>1.0</v>
      </c>
      <c r="G37" s="21" t="n">
        <v>1.65228601E9</v>
      </c>
      <c r="H37" s="22" t="n">
        <f>3692010</f>
        <v>3692010.0</v>
      </c>
    </row>
    <row r="38" spans="1:8" ht="24.9" customHeight="1">
      <c r="A38" s="51"/>
      <c r="B38" s="57"/>
      <c r="C38" s="39"/>
      <c r="D38" s="20" t="s">
        <v>17</v>
      </c>
      <c r="E38" s="21" t="n">
        <v>510.0</v>
      </c>
      <c r="F38" s="22" t="n">
        <f>4</f>
        <v>4.0</v>
      </c>
      <c r="G38" s="21" t="n">
        <v>1.8767245E9</v>
      </c>
      <c r="H38" s="22" t="n">
        <f>14696000</f>
        <v>1.4696E7</v>
      </c>
    </row>
    <row r="39" spans="1:8" ht="24.9" customHeight="1">
      <c r="A39" s="51"/>
      <c r="B39" s="57"/>
      <c r="C39" s="39"/>
      <c r="D39" s="24" t="s">
        <v>18</v>
      </c>
      <c r="E39" s="25" t="n">
        <v>1310.0</v>
      </c>
      <c r="F39" s="26" t="n">
        <f>8</f>
        <v>8.0</v>
      </c>
      <c r="G39" s="25" t="n">
        <v>4.82558753E9</v>
      </c>
      <c r="H39" s="26" t="n">
        <f>29429530</f>
        <v>2.942953E7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3.0</v>
      </c>
      <c r="F48" s="18" t="n">
        <f>3</f>
        <v>3.0</v>
      </c>
      <c r="G48" s="17" t="n">
        <v>5092500.0</v>
      </c>
      <c r="H48" s="18" t="n">
        <f>5092500</f>
        <v>5092500.0</v>
      </c>
    </row>
    <row r="49" spans="1:8" ht="24.9" customHeight="1">
      <c r="A49" s="51"/>
      <c r="B49" s="57"/>
      <c r="C49" s="39"/>
      <c r="D49" s="20" t="s">
        <v>16</v>
      </c>
      <c r="E49" s="21" t="n">
        <v>102.0</v>
      </c>
      <c r="F49" s="22" t="n">
        <f>0</f>
        <v>0.0</v>
      </c>
      <c r="G49" s="21" t="n">
        <v>1.71781E8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113.0</v>
      </c>
      <c r="F50" s="22" t="n">
        <f>15</f>
        <v>15.0</v>
      </c>
      <c r="G50" s="21" t="n">
        <v>1.891185E8</v>
      </c>
      <c r="H50" s="22" t="n">
        <f>25052500</f>
        <v>2.50525E7</v>
      </c>
    </row>
    <row r="51" spans="1:8" ht="24.9" customHeight="1">
      <c r="A51" s="51"/>
      <c r="B51" s="57"/>
      <c r="C51" s="39"/>
      <c r="D51" s="24" t="s">
        <v>18</v>
      </c>
      <c r="E51" s="25" t="n">
        <v>218.0</v>
      </c>
      <c r="F51" s="26" t="n">
        <f>18</f>
        <v>18.0</v>
      </c>
      <c r="G51" s="25" t="n">
        <v>3.65992E8</v>
      </c>
      <c r="H51" s="26" t="n">
        <f>30145000</f>
        <v>3.0145E7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581.0</v>
      </c>
      <c r="F56" s="18" t="n">
        <f>5</f>
        <v>5.0</v>
      </c>
      <c r="G56" s="17" t="n">
        <v>4.559238E8</v>
      </c>
      <c r="H56" s="18" t="n">
        <f>3936800</f>
        <v>3936800.0</v>
      </c>
    </row>
    <row r="57" spans="1:8" ht="24.9" customHeight="1">
      <c r="A57" s="51"/>
      <c r="B57" s="57"/>
      <c r="C57" s="39"/>
      <c r="D57" s="20" t="s">
        <v>16</v>
      </c>
      <c r="E57" s="21" t="n">
        <v>714.0</v>
      </c>
      <c r="F57" s="22" t="n">
        <f>12</f>
        <v>12.0</v>
      </c>
      <c r="G57" s="21" t="n">
        <v>5.642616E8</v>
      </c>
      <c r="H57" s="22" t="n">
        <f>9445600</f>
        <v>9445600.0</v>
      </c>
    </row>
    <row r="58" spans="1:8" ht="24.9" customHeight="1">
      <c r="A58" s="51"/>
      <c r="B58" s="57"/>
      <c r="C58" s="39"/>
      <c r="D58" s="20" t="s">
        <v>17</v>
      </c>
      <c r="E58" s="21" t="n">
        <v>807.0</v>
      </c>
      <c r="F58" s="22" t="n">
        <f>20</f>
        <v>20.0</v>
      </c>
      <c r="G58" s="21" t="n">
        <v>6.356024E8</v>
      </c>
      <c r="H58" s="22" t="n">
        <f>15835400</f>
        <v>1.58354E7</v>
      </c>
    </row>
    <row r="59" spans="1:8" ht="24.9" customHeight="1">
      <c r="A59" s="51"/>
      <c r="B59" s="57"/>
      <c r="C59" s="39"/>
      <c r="D59" s="24" t="s">
        <v>18</v>
      </c>
      <c r="E59" s="25" t="n">
        <v>2102.0</v>
      </c>
      <c r="F59" s="26" t="n">
        <f>37</f>
        <v>37.0</v>
      </c>
      <c r="G59" s="25" t="n">
        <v>1.6557878E9</v>
      </c>
      <c r="H59" s="26" t="n">
        <f>29217800</f>
        <v>2.92178E7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307.0</v>
      </c>
      <c r="F60" s="18" t="n">
        <f>12</f>
        <v>12.0</v>
      </c>
      <c r="G60" s="17" t="n">
        <v>1.5702496E9</v>
      </c>
      <c r="H60" s="18" t="n">
        <f>61310300</f>
        <v>6.13103E7</v>
      </c>
    </row>
    <row r="61" spans="1:8" ht="24.9" customHeight="1">
      <c r="A61" s="51"/>
      <c r="B61" s="57"/>
      <c r="C61" s="39"/>
      <c r="D61" s="20" t="s">
        <v>16</v>
      </c>
      <c r="E61" s="21" t="n">
        <v>6.0</v>
      </c>
      <c r="F61" s="22" t="n">
        <f>2</f>
        <v>2.0</v>
      </c>
      <c r="G61" s="21" t="n">
        <v>3.07526E7</v>
      </c>
      <c r="H61" s="22" t="n">
        <f>10253500</f>
        <v>1.02535E7</v>
      </c>
    </row>
    <row r="62" spans="1:8" ht="24.9" customHeight="1">
      <c r="A62" s="51"/>
      <c r="B62" s="57"/>
      <c r="C62" s="39"/>
      <c r="D62" s="20" t="s">
        <v>17</v>
      </c>
      <c r="E62" s="21" t="n">
        <v>6.0</v>
      </c>
      <c r="F62" s="22" t="n">
        <f>3</f>
        <v>3.0</v>
      </c>
      <c r="G62" s="21" t="n">
        <v>3.08214E7</v>
      </c>
      <c r="H62" s="22" t="n">
        <f>15410800</f>
        <v>1.54108E7</v>
      </c>
    </row>
    <row r="63" spans="1:8" ht="24.9" customHeight="1">
      <c r="A63" s="51"/>
      <c r="B63" s="57"/>
      <c r="C63" s="39"/>
      <c r="D63" s="24" t="s">
        <v>18</v>
      </c>
      <c r="E63" s="25" t="n">
        <v>319.0</v>
      </c>
      <c r="F63" s="26" t="n">
        <f>17</f>
        <v>17.0</v>
      </c>
      <c r="G63" s="25" t="n">
        <v>1.6318236E9</v>
      </c>
      <c r="H63" s="26" t="n">
        <f>86974600</f>
        <v>8.69746E7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1400.0</v>
      </c>
      <c r="F72" s="18" t="n">
        <f>1400</f>
        <v>1400.0</v>
      </c>
      <c r="G72" s="17" t="n">
        <v>1.6951E9</v>
      </c>
      <c r="H72" s="18" t="n">
        <f>1695100000</f>
        <v>1.6951E9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1400.0</v>
      </c>
      <c r="F75" s="26" t="n">
        <f>1400</f>
        <v>1400.0</v>
      </c>
      <c r="G75" s="25" t="n">
        <v>1.6951E9</v>
      </c>
      <c r="H75" s="26" t="n">
        <f>1695100000</f>
        <v>1.6951E9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898500.0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3153500.0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14.0</v>
      </c>
      <c r="F79" s="26" t="n">
        <f>0</f>
        <v>0.0</v>
      </c>
      <c r="G79" s="25" t="n">
        <v>4052000.0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535.0</v>
      </c>
      <c r="F92" s="18" t="n">
        <f>0</f>
        <v>0.0</v>
      </c>
      <c r="G92" s="17" t="n">
        <v>8.398535E8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281.0</v>
      </c>
      <c r="F93" s="22" t="n">
        <f>0</f>
        <v>0.0</v>
      </c>
      <c r="G93" s="21" t="n">
        <v>4.41303E8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51.0</v>
      </c>
      <c r="F94" s="22" t="n">
        <f>0</f>
        <v>0.0</v>
      </c>
      <c r="G94" s="21" t="n">
        <v>8.00368E7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867.0</v>
      </c>
      <c r="F95" s="26" t="n">
        <f>0</f>
        <v>0.0</v>
      </c>
      <c r="G95" s="25" t="n">
        <v>1.3611933E9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20.0</v>
      </c>
      <c r="F96" s="18" t="n">
        <f>0</f>
        <v>0.0</v>
      </c>
      <c r="G96" s="17" t="n">
        <v>4.6995E7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9.0</v>
      </c>
      <c r="F98" s="22" t="n">
        <f>0</f>
        <v>0.0</v>
      </c>
      <c r="G98" s="21" t="n">
        <v>2.11617E7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29.0</v>
      </c>
      <c r="F99" s="26" t="n">
        <f>0</f>
        <v>0.0</v>
      </c>
      <c r="G99" s="25" t="n">
        <v>6.81567E7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40.0</v>
      </c>
      <c r="F100" s="18" t="n">
        <f>0</f>
        <v>0.0</v>
      </c>
      <c r="G100" s="17" t="n">
        <v>7.1049E7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40.0</v>
      </c>
      <c r="F103" s="26" t="n">
        <f>0</f>
        <v>0.0</v>
      </c>
      <c r="G103" s="25" t="n">
        <v>7.1049E7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24494.0</v>
      </c>
      <c r="F108" s="18" t="n">
        <f>149</f>
        <v>149.0</v>
      </c>
      <c r="G108" s="17" t="n">
        <v>3.048956155E12</v>
      </c>
      <c r="H108" s="18" t="n">
        <f>18532015000</f>
        <v>1.8532015E10</v>
      </c>
    </row>
    <row r="109" spans="1:8" ht="24.9" customHeight="1">
      <c r="A109" s="51"/>
      <c r="B109" s="57"/>
      <c r="C109" s="39"/>
      <c r="D109" s="20" t="s">
        <v>16</v>
      </c>
      <c r="E109" s="21" t="n">
        <v>17056.0</v>
      </c>
      <c r="F109" s="22" t="n">
        <f>824</f>
        <v>824.0</v>
      </c>
      <c r="G109" s="21" t="n">
        <v>2.125343315E12</v>
      </c>
      <c r="H109" s="22" t="n">
        <f>102626235000</f>
        <v>1.02626235E11</v>
      </c>
    </row>
    <row r="110" spans="1:8" ht="24.9" customHeight="1">
      <c r="A110" s="51"/>
      <c r="B110" s="57"/>
      <c r="C110" s="39"/>
      <c r="D110" s="20" t="s">
        <v>17</v>
      </c>
      <c r="E110" s="21" t="n">
        <v>13680.0</v>
      </c>
      <c r="F110" s="22" t="n">
        <f>1547</f>
        <v>1547.0</v>
      </c>
      <c r="G110" s="21" t="n">
        <v>1.702380155E12</v>
      </c>
      <c r="H110" s="22" t="n">
        <f>192506785000</f>
        <v>1.92506785E11</v>
      </c>
    </row>
    <row r="111" spans="1:8" ht="24.9" customHeight="1">
      <c r="A111" s="51"/>
      <c r="B111" s="57"/>
      <c r="C111" s="39"/>
      <c r="D111" s="24" t="s">
        <v>18</v>
      </c>
      <c r="E111" s="25" t="n">
        <v>55230.0</v>
      </c>
      <c r="F111" s="26" t="n">
        <f>2520</f>
        <v>2520.0</v>
      </c>
      <c r="G111" s="25" t="n">
        <v>6.876679625E12</v>
      </c>
      <c r="H111" s="26" t="n">
        <f>313665035000</f>
        <v>3.13665035E11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302.0</v>
      </c>
      <c r="F113" s="22" t="n">
        <f>0</f>
        <v>0.0</v>
      </c>
      <c r="G113" s="21" t="n">
        <v>3.76492E9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1.2451E7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303.0</v>
      </c>
      <c r="F115" s="26" t="n">
        <f>0</f>
        <v>0.0</v>
      </c>
      <c r="G115" s="25" t="n">
        <v>3.777371E9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287.0</v>
      </c>
      <c r="F117" s="22" t="n">
        <f>0</f>
        <v>0.0</v>
      </c>
      <c r="G117" s="21" t="n">
        <v>2.518999E9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61.0</v>
      </c>
      <c r="F118" s="22" t="n">
        <f>0</f>
        <v>0.0</v>
      </c>
      <c r="G118" s="21" t="n">
        <v>5.34823E8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348.0</v>
      </c>
      <c r="F119" s="26" t="n">
        <f>0</f>
        <v>0.0</v>
      </c>
      <c r="G119" s="25" t="n">
        <v>3.053822E9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1509.0</v>
      </c>
      <c r="F120" s="18" t="n">
        <f>0</f>
        <v>0.0</v>
      </c>
      <c r="G120" s="17" t="n">
        <v>3.70188925E10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1788.0</v>
      </c>
      <c r="F121" s="22" t="n">
        <f>0</f>
        <v>0.0</v>
      </c>
      <c r="G121" s="21" t="n">
        <v>4.4142139375E10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4436.0</v>
      </c>
      <c r="F122" s="22" t="n">
        <f>0</f>
        <v>0.0</v>
      </c>
      <c r="G122" s="21" t="n">
        <v>1.09528651875E11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7733.0</v>
      </c>
      <c r="F123" s="26" t="n">
        <f>0</f>
        <v>0.0</v>
      </c>
      <c r="G123" s="25" t="n">
        <v>1.9068968375E11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5759.0</v>
      </c>
      <c r="F124" s="18" t="n">
        <f>0</f>
        <v>0.0</v>
      </c>
      <c r="G124" s="17" t="n">
        <v>1.24950726E11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2349.0</v>
      </c>
      <c r="F125" s="22" t="n">
        <f>0</f>
        <v>0.0</v>
      </c>
      <c r="G125" s="21" t="n">
        <v>5.0831539E10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2030.0</v>
      </c>
      <c r="F126" s="22" t="n">
        <f>0</f>
        <v>0.0</v>
      </c>
      <c r="G126" s="21" t="n">
        <v>4.4072014E10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10138.0</v>
      </c>
      <c r="F127" s="26" t="n">
        <f>0</f>
        <v>0.0</v>
      </c>
      <c r="G127" s="25" t="n">
        <v>2.19854279E11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148.0</v>
      </c>
      <c r="F128" s="18" t="n">
        <f>0</f>
        <v>0.0</v>
      </c>
      <c r="G128" s="17" t="n">
        <v>3.169705E8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41.0</v>
      </c>
      <c r="F129" s="22" t="n">
        <f>0</f>
        <v>0.0</v>
      </c>
      <c r="G129" s="21" t="n">
        <v>8.75187E7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422.0</v>
      </c>
      <c r="F130" s="22" t="n">
        <f>0</f>
        <v>0.0</v>
      </c>
      <c r="G130" s="21" t="n">
        <v>9.06307E8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611.0</v>
      </c>
      <c r="F131" s="26" t="n">
        <f>0</f>
        <v>0.0</v>
      </c>
      <c r="G131" s="25" t="n">
        <v>1.3107962E9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6611.0</v>
      </c>
      <c r="F132" s="18" t="n">
        <f>0</f>
        <v>0.0</v>
      </c>
      <c r="G132" s="17" t="n">
        <v>1.438659725E10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2076.0</v>
      </c>
      <c r="F133" s="22" t="n">
        <f>0</f>
        <v>0.0</v>
      </c>
      <c r="G133" s="21" t="n">
        <v>4.5031887E9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1995.0</v>
      </c>
      <c r="F134" s="22" t="n">
        <f>0</f>
        <v>0.0</v>
      </c>
      <c r="G134" s="21" t="n">
        <v>4.34604135E9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10682.0</v>
      </c>
      <c r="F135" s="26" t="n">
        <f>0</f>
        <v>0.0</v>
      </c>
      <c r="G135" s="25" t="n">
        <v>2.32358273E10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58.0</v>
      </c>
      <c r="F136" s="18" t="n">
        <f>0</f>
        <v>0.0</v>
      </c>
      <c r="G136" s="17" t="n">
        <v>1.229438E8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19.0</v>
      </c>
      <c r="F137" s="22" t="n">
        <f>0</f>
        <v>0.0</v>
      </c>
      <c r="G137" s="21" t="n">
        <v>4.02235E7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100.0</v>
      </c>
      <c r="F138" s="22" t="n">
        <f>0</f>
        <v>0.0</v>
      </c>
      <c r="G138" s="21" t="n">
        <v>2.119082E8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177.0</v>
      </c>
      <c r="F139" s="26" t="n">
        <f>0</f>
        <v>0.0</v>
      </c>
      <c r="G139" s="25" t="n">
        <v>3.750755E8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1225.0</v>
      </c>
      <c r="F144" s="18" t="n">
        <f>0</f>
        <v>0.0</v>
      </c>
      <c r="G144" s="17" t="n">
        <v>5.2016195E9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519.0</v>
      </c>
      <c r="F145" s="22" t="n">
        <f>0</f>
        <v>0.0</v>
      </c>
      <c r="G145" s="21" t="n">
        <v>2.2087055E9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712.0</v>
      </c>
      <c r="F146" s="22" t="n">
        <f>0</f>
        <v>0.0</v>
      </c>
      <c r="G146" s="21" t="n">
        <v>3.0543075E9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2456.0</v>
      </c>
      <c r="F147" s="26" t="n">
        <f>0</f>
        <v>0.0</v>
      </c>
      <c r="G147" s="25" t="n">
        <v>1.04646325E10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40.0</v>
      </c>
      <c r="F148" s="18" t="n">
        <f>0</f>
        <v>0.0</v>
      </c>
      <c r="G148" s="17" t="n">
        <v>3.48221E7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77.0</v>
      </c>
      <c r="F149" s="22" t="n">
        <f>0</f>
        <v>0.0</v>
      </c>
      <c r="G149" s="21" t="n">
        <v>6.72745E7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456.0</v>
      </c>
      <c r="F150" s="22" t="n">
        <f>0</f>
        <v>0.0</v>
      </c>
      <c r="G150" s="21" t="n">
        <v>4.024795E8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573.0</v>
      </c>
      <c r="F151" s="26" t="n">
        <f>0</f>
        <v>0.0</v>
      </c>
      <c r="G151" s="25" t="n">
        <v>5.045761E8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361.0</v>
      </c>
      <c r="F152" s="18" t="n">
        <f>0</f>
        <v>0.0</v>
      </c>
      <c r="G152" s="17" t="n">
        <v>3.0718935E8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47.0</v>
      </c>
      <c r="F153" s="22" t="n">
        <f>0</f>
        <v>0.0</v>
      </c>
      <c r="G153" s="21" t="n">
        <v>4.01E7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356.0</v>
      </c>
      <c r="F154" s="22" t="n">
        <f>0</f>
        <v>0.0</v>
      </c>
      <c r="G154" s="21" t="n">
        <v>3.070463E8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764.0</v>
      </c>
      <c r="F155" s="26" t="n">
        <f>0</f>
        <v>0.0</v>
      </c>
      <c r="G155" s="25" t="n">
        <v>6.5433565E8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11.0</v>
      </c>
      <c r="F156" s="18" t="n">
        <f>0</f>
        <v>0.0</v>
      </c>
      <c r="G156" s="17" t="n">
        <v>9471500.0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198.0</v>
      </c>
      <c r="F157" s="22" t="n">
        <f>0</f>
        <v>0.0</v>
      </c>
      <c r="G157" s="21" t="n">
        <v>1.702166E8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436.0</v>
      </c>
      <c r="F158" s="22" t="n">
        <f>0</f>
        <v>0.0</v>
      </c>
      <c r="G158" s="21" t="n">
        <v>3.808471E8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645.0</v>
      </c>
      <c r="F159" s="26" t="n">
        <f>0</f>
        <v>0.0</v>
      </c>
      <c r="G159" s="25" t="n">
        <v>5.605352E8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42.0</v>
      </c>
      <c r="F168" s="18" t="n">
        <f>0</f>
        <v>0.0</v>
      </c>
      <c r="G168" s="17" t="n">
        <v>9.5443E7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165.0</v>
      </c>
      <c r="F169" s="22" t="n">
        <f>0</f>
        <v>0.0</v>
      </c>
      <c r="G169" s="21" t="n">
        <v>3.732085E8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631.0</v>
      </c>
      <c r="F170" s="22" t="n">
        <f>0</f>
        <v>0.0</v>
      </c>
      <c r="G170" s="21" t="n">
        <v>1.4280525E9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838.0</v>
      </c>
      <c r="F171" s="26" t="n">
        <f>0</f>
        <v>0.0</v>
      </c>
      <c r="G171" s="25" t="n">
        <v>1.896704E9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8012000.0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64.0</v>
      </c>
      <c r="F178" s="22" t="n">
        <f>0</f>
        <v>0.0</v>
      </c>
      <c r="G178" s="21" t="n">
        <v>1.2835E8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68.0</v>
      </c>
      <c r="F179" s="26" t="n">
        <f>0</f>
        <v>0.0</v>
      </c>
      <c r="G179" s="25" t="n">
        <v>1.36362E8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437.0</v>
      </c>
      <c r="F204" s="18" t="n">
        <f>0</f>
        <v>0.0</v>
      </c>
      <c r="G204" s="17" t="n">
        <v>1.9482585E9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413.0</v>
      </c>
      <c r="F205" s="22" t="n">
        <f>0</f>
        <v>0.0</v>
      </c>
      <c r="G205" s="21" t="n">
        <v>1.865829E9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2032.0</v>
      </c>
      <c r="F206" s="22" t="n">
        <f>0</f>
        <v>0.0</v>
      </c>
      <c r="G206" s="21" t="n">
        <v>9.2007985E9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2882.0</v>
      </c>
      <c r="F207" s="26" t="n">
        <f>0</f>
        <v>0.0</v>
      </c>
      <c r="G207" s="25" t="n">
        <v>1.3014886E10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20.0</v>
      </c>
      <c r="F212" s="18" t="n">
        <f>20</f>
        <v>20.0</v>
      </c>
      <c r="G212" s="17" t="n">
        <v>3.02064E7</v>
      </c>
      <c r="H212" s="18" t="n">
        <f>30206400</f>
        <v>3.02064E7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20.0</v>
      </c>
      <c r="F215" s="26" t="n">
        <f>20</f>
        <v>20.0</v>
      </c>
      <c r="G215" s="25" t="n">
        <v>3.02064E7</v>
      </c>
      <c r="H215" s="26" t="n">
        <f>30206400</f>
        <v>3.02064E7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46297.0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46297.0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6371</f>
        <v>6371.0</v>
      </c>
      <c r="E12" s="35" t="n">
        <f>2112</f>
        <v>2112.0</v>
      </c>
      <c r="F12" s="17" t="n">
        <f>4041</f>
        <v>4041.0</v>
      </c>
      <c r="G12" s="35" t="n">
        <f>817</f>
        <v>817.0</v>
      </c>
      <c r="H12" s="17" t="n">
        <f>10412</f>
        <v>10412.0</v>
      </c>
      <c r="I12" s="35" t="n">
        <f>2929</f>
        <v>2929.0</v>
      </c>
      <c r="J12" s="17" t="n">
        <f>1724071020</f>
        <v>1.72407102E9</v>
      </c>
      <c r="K12" s="35" t="n">
        <f>966040020</f>
        <v>9.6604002E8</v>
      </c>
      <c r="L12" s="17" t="n">
        <f>917259450</f>
        <v>9.1725945E8</v>
      </c>
      <c r="M12" s="35" t="n">
        <f>149110450</f>
        <v>1.4911045E8</v>
      </c>
      <c r="N12" s="17" t="n">
        <f>2641330470</f>
        <v>2.64133047E9</v>
      </c>
      <c r="O12" s="35" t="n">
        <f>1115150470</f>
        <v>1.11515047E9</v>
      </c>
    </row>
    <row r="13" spans="1:15" ht="24.9" customHeight="1">
      <c r="A13" s="38"/>
      <c r="B13" s="62"/>
      <c r="C13" s="20" t="s">
        <v>16</v>
      </c>
      <c r="D13" s="21" t="n">
        <f>7540</f>
        <v>7540.0</v>
      </c>
      <c r="E13" s="36" t="n">
        <f>4276</f>
        <v>4276.0</v>
      </c>
      <c r="F13" s="21" t="n">
        <f>3300</f>
        <v>3300.0</v>
      </c>
      <c r="G13" s="36" t="n">
        <f>1646</f>
        <v>1646.0</v>
      </c>
      <c r="H13" s="21" t="n">
        <f>10840</f>
        <v>10840.0</v>
      </c>
      <c r="I13" s="36" t="n">
        <f>5922</f>
        <v>5922.0</v>
      </c>
      <c r="J13" s="21" t="n">
        <f>4648083640</f>
        <v>4.64808364E9</v>
      </c>
      <c r="K13" s="36" t="n">
        <f>3984995640</f>
        <v>3.98499564E9</v>
      </c>
      <c r="L13" s="21" t="n">
        <f>2531555470</f>
        <v>2.53155547E9</v>
      </c>
      <c r="M13" s="36" t="n">
        <f>2057030470</f>
        <v>2.05703047E9</v>
      </c>
      <c r="N13" s="21" t="n">
        <f>7179639110</f>
        <v>7.17963911E9</v>
      </c>
      <c r="O13" s="36" t="n">
        <f>6042026110</f>
        <v>6.04202611E9</v>
      </c>
    </row>
    <row r="14" spans="1:15" ht="24.9" customHeight="1">
      <c r="A14" s="38"/>
      <c r="B14" s="62"/>
      <c r="C14" s="20" t="s">
        <v>17</v>
      </c>
      <c r="D14" s="21" t="n">
        <f>26476</f>
        <v>26476.0</v>
      </c>
      <c r="E14" s="36" t="n">
        <f>21503</f>
        <v>21503.0</v>
      </c>
      <c r="F14" s="21" t="n">
        <f>7521</f>
        <v>7521.0</v>
      </c>
      <c r="G14" s="36" t="n">
        <f>5694</f>
        <v>5694.0</v>
      </c>
      <c r="H14" s="21" t="n">
        <f>33997</f>
        <v>33997.0</v>
      </c>
      <c r="I14" s="36" t="n">
        <f>27197</f>
        <v>27197.0</v>
      </c>
      <c r="J14" s="21" t="n">
        <f>6883295858</f>
        <v>6.883295858E9</v>
      </c>
      <c r="K14" s="36" t="n">
        <f>5902250858</f>
        <v>5.902250858E9</v>
      </c>
      <c r="L14" s="21" t="n">
        <f>4945451769</f>
        <v>4.945451769E9</v>
      </c>
      <c r="M14" s="36" t="n">
        <f>4028720769</f>
        <v>4.028720769E9</v>
      </c>
      <c r="N14" s="21" t="n">
        <f>11828747627</f>
        <v>1.1828747627E10</v>
      </c>
      <c r="O14" s="36" t="n">
        <f>9930971627</f>
        <v>9.930971627E9</v>
      </c>
    </row>
    <row r="15" spans="1:15" ht="24.9" customHeight="1">
      <c r="A15" s="38"/>
      <c r="B15" s="62"/>
      <c r="C15" s="24" t="s">
        <v>18</v>
      </c>
      <c r="D15" s="25" t="n">
        <f>40387</f>
        <v>40387.0</v>
      </c>
      <c r="E15" s="37" t="n">
        <f>27891</f>
        <v>27891.0</v>
      </c>
      <c r="F15" s="25" t="n">
        <f>14862</f>
        <v>14862.0</v>
      </c>
      <c r="G15" s="37" t="n">
        <f>8157</f>
        <v>8157.0</v>
      </c>
      <c r="H15" s="25" t="n">
        <f>55249</f>
        <v>55249.0</v>
      </c>
      <c r="I15" s="37" t="n">
        <f>36048</f>
        <v>36048.0</v>
      </c>
      <c r="J15" s="25" t="n">
        <f>13255450518</f>
        <v>1.3255450518E10</v>
      </c>
      <c r="K15" s="37" t="n">
        <f>10853286518</f>
        <v>1.0853286518E10</v>
      </c>
      <c r="L15" s="25" t="n">
        <f>8394266689</f>
        <v>8.394266689E9</v>
      </c>
      <c r="M15" s="37" t="n">
        <f>6234861689</f>
        <v>6.234861689E9</v>
      </c>
      <c r="N15" s="25" t="n">
        <f>21649717207</f>
        <v>2.1649717207E10</v>
      </c>
      <c r="O15" s="37" t="n">
        <f>17088148207</f>
        <v>1.7088148207E10</v>
      </c>
    </row>
    <row r="16" spans="1:15" ht="24.9" customHeight="1">
      <c r="A16" s="38"/>
      <c r="B16" s="61" t="s">
        <v>105</v>
      </c>
      <c r="C16" s="16" t="s">
        <v>15</v>
      </c>
      <c r="D16" s="17" t="n">
        <f>10625</f>
        <v>10625.0</v>
      </c>
      <c r="E16" s="35" t="n">
        <f>360</f>
        <v>360.0</v>
      </c>
      <c r="F16" s="17" t="n">
        <f>6774</f>
        <v>6774.0</v>
      </c>
      <c r="G16" s="35" t="n">
        <f>450</f>
        <v>450.0</v>
      </c>
      <c r="H16" s="17" t="n">
        <f>17399</f>
        <v>17399.0</v>
      </c>
      <c r="I16" s="35" t="n">
        <f>810</f>
        <v>810.0</v>
      </c>
      <c r="J16" s="17" t="n">
        <f>329167450</f>
        <v>3.2916745E8</v>
      </c>
      <c r="K16" s="35" t="n">
        <f>6064750</f>
        <v>6064750.0</v>
      </c>
      <c r="L16" s="17" t="n">
        <f>300623050</f>
        <v>3.0062305E8</v>
      </c>
      <c r="M16" s="35" t="n">
        <f>12588650</f>
        <v>1.258865E7</v>
      </c>
      <c r="N16" s="17" t="n">
        <f>629790500</f>
        <v>6.297905E8</v>
      </c>
      <c r="O16" s="35" t="n">
        <f>18653400</f>
        <v>1.86534E7</v>
      </c>
    </row>
    <row r="17" spans="1:15" ht="24.9" customHeight="1">
      <c r="A17" s="38"/>
      <c r="B17" s="62"/>
      <c r="C17" s="20" t="s">
        <v>16</v>
      </c>
      <c r="D17" s="21" t="n">
        <f>2799</f>
        <v>2799.0</v>
      </c>
      <c r="E17" s="36" t="n">
        <f>370</f>
        <v>370.0</v>
      </c>
      <c r="F17" s="21" t="n">
        <f>2415</f>
        <v>2415.0</v>
      </c>
      <c r="G17" s="36" t="n">
        <f>160</f>
        <v>160.0</v>
      </c>
      <c r="H17" s="21" t="n">
        <f>5214</f>
        <v>5214.0</v>
      </c>
      <c r="I17" s="36" t="n">
        <f>530</f>
        <v>530.0</v>
      </c>
      <c r="J17" s="21" t="n">
        <f>97690270</f>
        <v>9.769027E7</v>
      </c>
      <c r="K17" s="36" t="n">
        <f>4212770</f>
        <v>4212770.0</v>
      </c>
      <c r="L17" s="21" t="n">
        <f>117030730</f>
        <v>1.1703073E8</v>
      </c>
      <c r="M17" s="36" t="n">
        <f>3394630</f>
        <v>3394630.0</v>
      </c>
      <c r="N17" s="21" t="n">
        <f>214721000</f>
        <v>2.14721E8</v>
      </c>
      <c r="O17" s="36" t="n">
        <f>7607400</f>
        <v>7607400.0</v>
      </c>
    </row>
    <row r="18" spans="1:15" ht="24.9" customHeight="1">
      <c r="A18" s="38"/>
      <c r="B18" s="62"/>
      <c r="C18" s="20" t="s">
        <v>17</v>
      </c>
      <c r="D18" s="21" t="n">
        <f>3118</f>
        <v>3118.0</v>
      </c>
      <c r="E18" s="36" t="n">
        <f>170</f>
        <v>170.0</v>
      </c>
      <c r="F18" s="21" t="n">
        <f>2370</f>
        <v>2370.0</v>
      </c>
      <c r="G18" s="36" t="n">
        <f>260</f>
        <v>260.0</v>
      </c>
      <c r="H18" s="21" t="n">
        <f>5488</f>
        <v>5488.0</v>
      </c>
      <c r="I18" s="36" t="n">
        <f>430</f>
        <v>430.0</v>
      </c>
      <c r="J18" s="21" t="n">
        <f>104585670</f>
        <v>1.0458567E8</v>
      </c>
      <c r="K18" s="36" t="n">
        <f>5834170</f>
        <v>5834170.0</v>
      </c>
      <c r="L18" s="21" t="n">
        <f>95065800</f>
        <v>9.50658E7</v>
      </c>
      <c r="M18" s="36" t="n">
        <f>12645400</f>
        <v>1.26454E7</v>
      </c>
      <c r="N18" s="21" t="n">
        <f>199651470</f>
        <v>1.9965147E8</v>
      </c>
      <c r="O18" s="36" t="n">
        <f>18479570</f>
        <v>1.847957E7</v>
      </c>
    </row>
    <row r="19" spans="1:15" ht="24.9" customHeight="1">
      <c r="A19" s="38"/>
      <c r="B19" s="62"/>
      <c r="C19" s="24" t="s">
        <v>18</v>
      </c>
      <c r="D19" s="25" t="n">
        <f>16542</f>
        <v>16542.0</v>
      </c>
      <c r="E19" s="37" t="n">
        <f>900</f>
        <v>900.0</v>
      </c>
      <c r="F19" s="25" t="n">
        <f>11559</f>
        <v>11559.0</v>
      </c>
      <c r="G19" s="37" t="n">
        <f>870</f>
        <v>870.0</v>
      </c>
      <c r="H19" s="25" t="n">
        <f>28101</f>
        <v>28101.0</v>
      </c>
      <c r="I19" s="37" t="n">
        <f>1770</f>
        <v>1770.0</v>
      </c>
      <c r="J19" s="25" t="n">
        <f>531443390</f>
        <v>5.3144339E8</v>
      </c>
      <c r="K19" s="37" t="n">
        <f>16111690</f>
        <v>1.611169E7</v>
      </c>
      <c r="L19" s="25" t="n">
        <f>512719580</f>
        <v>5.1271958E8</v>
      </c>
      <c r="M19" s="37" t="n">
        <f>28628680</f>
        <v>2.862868E7</v>
      </c>
      <c r="N19" s="25" t="n">
        <f>1044162970</f>
        <v>1.04416297E9</v>
      </c>
      <c r="O19" s="37" t="n">
        <f>44740370</f>
        <v>4.474037E7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15</f>
        <v>15.0</v>
      </c>
      <c r="E21" s="36" t="n">
        <f>0</f>
        <v>0.0</v>
      </c>
      <c r="F21" s="21" t="n">
        <f>225</f>
        <v>225.0</v>
      </c>
      <c r="G21" s="36" t="n">
        <f>200</f>
        <v>200.0</v>
      </c>
      <c r="H21" s="21" t="n">
        <f>240</f>
        <v>240.0</v>
      </c>
      <c r="I21" s="36" t="n">
        <f>200</f>
        <v>200.0</v>
      </c>
      <c r="J21" s="21" t="n">
        <f>1125000</f>
        <v>1125000.0</v>
      </c>
      <c r="K21" s="36" t="n">
        <f>0</f>
        <v>0.0</v>
      </c>
      <c r="L21" s="21" t="n">
        <f>69575000</f>
        <v>6.9575E7</v>
      </c>
      <c r="M21" s="36" t="n">
        <f>60000000</f>
        <v>6.0E7</v>
      </c>
      <c r="N21" s="21" t="n">
        <f>70700000</f>
        <v>7.07E7</v>
      </c>
      <c r="O21" s="36" t="n">
        <f>60000000</f>
        <v>6.0E7</v>
      </c>
    </row>
    <row r="22" spans="1:15" ht="24.9" customHeight="1">
      <c r="A22" s="38"/>
      <c r="B22" s="62"/>
      <c r="C22" s="20" t="s">
        <v>17</v>
      </c>
      <c r="D22" s="21" t="n">
        <f>2504</f>
        <v>2504.0</v>
      </c>
      <c r="E22" s="36" t="n">
        <f>2489</f>
        <v>2489.0</v>
      </c>
      <c r="F22" s="21" t="n">
        <f>415</f>
        <v>415.0</v>
      </c>
      <c r="G22" s="36" t="n">
        <f>290</f>
        <v>290.0</v>
      </c>
      <c r="H22" s="21" t="n">
        <f>2919</f>
        <v>2919.0</v>
      </c>
      <c r="I22" s="36" t="n">
        <f>2779</f>
        <v>2779.0</v>
      </c>
      <c r="J22" s="21" t="n">
        <f>693284300</f>
        <v>6.932843E8</v>
      </c>
      <c r="K22" s="36" t="n">
        <f>692279300</f>
        <v>6.922793E8</v>
      </c>
      <c r="L22" s="21" t="n">
        <f>140411000</f>
        <v>1.40411E8</v>
      </c>
      <c r="M22" s="36" t="n">
        <f>90536000</f>
        <v>9.0536E7</v>
      </c>
      <c r="N22" s="21" t="n">
        <f>833695300</f>
        <v>8.336953E8</v>
      </c>
      <c r="O22" s="36" t="n">
        <f>782815300</f>
        <v>7.828153E8</v>
      </c>
    </row>
    <row r="23" spans="1:15" ht="24.9" customHeight="1">
      <c r="A23" s="38"/>
      <c r="B23" s="62"/>
      <c r="C23" s="24" t="s">
        <v>18</v>
      </c>
      <c r="D23" s="25" t="n">
        <f>2519</f>
        <v>2519.0</v>
      </c>
      <c r="E23" s="37" t="n">
        <f>2489</f>
        <v>2489.0</v>
      </c>
      <c r="F23" s="25" t="n">
        <f>640</f>
        <v>640.0</v>
      </c>
      <c r="G23" s="37" t="n">
        <f>490</f>
        <v>490.0</v>
      </c>
      <c r="H23" s="25" t="n">
        <f>3159</f>
        <v>3159.0</v>
      </c>
      <c r="I23" s="37" t="n">
        <f>2979</f>
        <v>2979.0</v>
      </c>
      <c r="J23" s="25" t="n">
        <f>694409300</f>
        <v>6.944093E8</v>
      </c>
      <c r="K23" s="37" t="n">
        <f>692279300</f>
        <v>6.922793E8</v>
      </c>
      <c r="L23" s="25" t="n">
        <f>209986000</f>
        <v>2.09986E8</v>
      </c>
      <c r="M23" s="37" t="n">
        <f>150536000</f>
        <v>1.50536E8</v>
      </c>
      <c r="N23" s="25" t="n">
        <f>904395300</f>
        <v>9.043953E8</v>
      </c>
      <c r="O23" s="37" t="n">
        <f>842815300</f>
        <v>8.428153E8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40</f>
        <v>40.0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42</f>
        <v>42.0</v>
      </c>
      <c r="I36" s="18" t="n">
        <f>0</f>
        <v>0.0</v>
      </c>
      <c r="J36" s="17" t="n">
        <f>14900000</f>
        <v>1.49E7</v>
      </c>
      <c r="K36" s="18" t="n">
        <f>0</f>
        <v>0.0</v>
      </c>
      <c r="L36" s="17" t="n">
        <f>300000</f>
        <v>300000.0</v>
      </c>
      <c r="M36" s="18" t="n">
        <f>0</f>
        <v>0.0</v>
      </c>
      <c r="N36" s="17" t="n">
        <f>15200000</f>
        <v>1.52E7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15</f>
        <v>15.0</v>
      </c>
      <c r="E37" s="22" t="n">
        <f>0</f>
        <v>0.0</v>
      </c>
      <c r="F37" s="21" t="n">
        <f>3</f>
        <v>3.0</v>
      </c>
      <c r="G37" s="22" t="n">
        <f>0</f>
        <v>0.0</v>
      </c>
      <c r="H37" s="21" t="n">
        <f>18</f>
        <v>18.0</v>
      </c>
      <c r="I37" s="22" t="n">
        <f>0</f>
        <v>0.0</v>
      </c>
      <c r="J37" s="21" t="n">
        <f>2400000</f>
        <v>2400000.0</v>
      </c>
      <c r="K37" s="22" t="n">
        <f>0</f>
        <v>0.0</v>
      </c>
      <c r="L37" s="21" t="n">
        <f>630000</f>
        <v>630000.0</v>
      </c>
      <c r="M37" s="22" t="n">
        <f>0</f>
        <v>0.0</v>
      </c>
      <c r="N37" s="21" t="n">
        <f>3030000</f>
        <v>3030000.0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33</f>
        <v>33.0</v>
      </c>
      <c r="E38" s="36" t="n">
        <f>0</f>
        <v>0.0</v>
      </c>
      <c r="F38" s="21" t="n">
        <f>21</f>
        <v>21.0</v>
      </c>
      <c r="G38" s="36" t="n">
        <f>1</f>
        <v>1.0</v>
      </c>
      <c r="H38" s="21" t="n">
        <f>54</f>
        <v>54.0</v>
      </c>
      <c r="I38" s="36" t="n">
        <f>1</f>
        <v>1.0</v>
      </c>
      <c r="J38" s="21" t="n">
        <f>11700000</f>
        <v>1.17E7</v>
      </c>
      <c r="K38" s="36" t="n">
        <f>0</f>
        <v>0.0</v>
      </c>
      <c r="L38" s="21" t="n">
        <f>1810000</f>
        <v>1810000.0</v>
      </c>
      <c r="M38" s="36" t="n">
        <f>10000</f>
        <v>10000.0</v>
      </c>
      <c r="N38" s="21" t="n">
        <f>13510000</f>
        <v>1.351E7</v>
      </c>
      <c r="O38" s="36" t="n">
        <f>10000</f>
        <v>10000.0</v>
      </c>
    </row>
    <row r="39" spans="1:15" ht="24.9" customHeight="1">
      <c r="A39" s="38"/>
      <c r="B39" s="62"/>
      <c r="C39" s="24" t="s">
        <v>18</v>
      </c>
      <c r="D39" s="25" t="n">
        <f>88</f>
        <v>88.0</v>
      </c>
      <c r="E39" s="37" t="n">
        <f>0</f>
        <v>0.0</v>
      </c>
      <c r="F39" s="25" t="n">
        <f>26</f>
        <v>26.0</v>
      </c>
      <c r="G39" s="37" t="n">
        <f>1</f>
        <v>1.0</v>
      </c>
      <c r="H39" s="25" t="n">
        <f>114</f>
        <v>114.0</v>
      </c>
      <c r="I39" s="37" t="n">
        <f>1</f>
        <v>1.0</v>
      </c>
      <c r="J39" s="25" t="n">
        <f>29000000</f>
        <v>2.9E7</v>
      </c>
      <c r="K39" s="37" t="n">
        <f>0</f>
        <v>0.0</v>
      </c>
      <c r="L39" s="25" t="n">
        <f>2740000</f>
        <v>2740000.0</v>
      </c>
      <c r="M39" s="37" t="n">
        <f>10000</f>
        <v>10000.0</v>
      </c>
      <c r="N39" s="25" t="n">
        <f>31740000</f>
        <v>3.174E7</v>
      </c>
      <c r="O39" s="37" t="n">
        <f>10000</f>
        <v>10000.0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3729</f>
        <v>3729.0</v>
      </c>
      <c r="E41" s="36" t="n">
        <f>2200</f>
        <v>2200.0</v>
      </c>
      <c r="F41" s="21" t="n">
        <f>7833</f>
        <v>7833.0</v>
      </c>
      <c r="G41" s="36" t="n">
        <f>0</f>
        <v>0.0</v>
      </c>
      <c r="H41" s="21" t="n">
        <f>11562</f>
        <v>11562.0</v>
      </c>
      <c r="I41" s="36" t="n">
        <f>2200</f>
        <v>2200.0</v>
      </c>
      <c r="J41" s="21" t="n">
        <f>10819966</f>
        <v>1.0819966E7</v>
      </c>
      <c r="K41" s="36" t="n">
        <f>3916000</f>
        <v>3916000.0</v>
      </c>
      <c r="L41" s="21" t="n">
        <f>4726270</f>
        <v>4726270.0</v>
      </c>
      <c r="M41" s="36" t="n">
        <f>0</f>
        <v>0.0</v>
      </c>
      <c r="N41" s="21" t="n">
        <f>15546236</f>
        <v>1.5546236E7</v>
      </c>
      <c r="O41" s="36" t="n">
        <f>3916000</f>
        <v>3916000.0</v>
      </c>
    </row>
    <row r="42" spans="1:15" ht="24.9" customHeight="1">
      <c r="A42" s="38"/>
      <c r="B42" s="62"/>
      <c r="C42" s="20" t="s">
        <v>17</v>
      </c>
      <c r="D42" s="21" t="n">
        <f>7551</f>
        <v>7551.0</v>
      </c>
      <c r="E42" s="36" t="n">
        <f>1500</f>
        <v>1500.0</v>
      </c>
      <c r="F42" s="21" t="n">
        <f>542</f>
        <v>542.0</v>
      </c>
      <c r="G42" s="36" t="n">
        <f>100</f>
        <v>100.0</v>
      </c>
      <c r="H42" s="21" t="n">
        <f>8093</f>
        <v>8093.0</v>
      </c>
      <c r="I42" s="36" t="n">
        <f>1600</f>
        <v>1600.0</v>
      </c>
      <c r="J42" s="21" t="n">
        <f>74829435</f>
        <v>7.4829435E7</v>
      </c>
      <c r="K42" s="36" t="n">
        <f>53250000</f>
        <v>5.325E7</v>
      </c>
      <c r="L42" s="21" t="n">
        <f>2044080</f>
        <v>2044080.0</v>
      </c>
      <c r="M42" s="36" t="n">
        <f>171000</f>
        <v>171000.0</v>
      </c>
      <c r="N42" s="21" t="n">
        <f>76873515</f>
        <v>7.6873515E7</v>
      </c>
      <c r="O42" s="36" t="n">
        <f>53421000</f>
        <v>5.3421E7</v>
      </c>
    </row>
    <row r="43" spans="1:15" ht="24.9" customHeight="1">
      <c r="A43" s="38"/>
      <c r="B43" s="62"/>
      <c r="C43" s="24" t="s">
        <v>18</v>
      </c>
      <c r="D43" s="25" t="n">
        <f>11280</f>
        <v>11280.0</v>
      </c>
      <c r="E43" s="37" t="n">
        <f>3700</f>
        <v>3700.0</v>
      </c>
      <c r="F43" s="25" t="n">
        <f>8375</f>
        <v>8375.0</v>
      </c>
      <c r="G43" s="37" t="n">
        <f>100</f>
        <v>100.0</v>
      </c>
      <c r="H43" s="25" t="n">
        <f>19655</f>
        <v>19655.0</v>
      </c>
      <c r="I43" s="37" t="n">
        <f>3800</f>
        <v>3800.0</v>
      </c>
      <c r="J43" s="25" t="n">
        <f>85649401</f>
        <v>8.5649401E7</v>
      </c>
      <c r="K43" s="37" t="n">
        <f>57166000</f>
        <v>5.7166E7</v>
      </c>
      <c r="L43" s="25" t="n">
        <f>6770350</f>
        <v>6770350.0</v>
      </c>
      <c r="M43" s="37" t="n">
        <f>171000</f>
        <v>171000.0</v>
      </c>
      <c r="N43" s="25" t="n">
        <f>92419751</f>
        <v>9.2419751E7</v>
      </c>
      <c r="O43" s="37" t="n">
        <f>57337000</f>
        <v>5.7337E7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