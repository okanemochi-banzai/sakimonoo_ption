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<sst xmlns="http://schemas.openxmlformats.org/spreadsheetml/2006/main" count="528" uniqueCount="129">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</sst>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DATE(2026,09,16)</f>
        <v>46281.0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DATE(2026,09,16)</f>
        <v>46281.0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667865.0</f>
        <v>667865.0</v>
      </c>
      <c r="E12" s="18" t="n">
        <f>33748.0</f>
        <v>33748.0</v>
      </c>
      <c r="F12" s="19" t="n">
        <f>1.0</f>
        <v>1.0</v>
      </c>
      <c r="G12" s="17" t="n">
        <f>4562768998940.0</f>
        <v>4.56276899894E12</v>
      </c>
      <c r="H12" s="18" t="n">
        <f>353651638290.0</f>
        <v>3.5365163829E11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322713.0</f>
        <v>322713.0</v>
      </c>
      <c r="E13" s="22" t="n">
        <f>15192.0</f>
        <v>15192.0</v>
      </c>
      <c r="F13" s="23" t="n">
        <f>1.0</f>
        <v>1.0</v>
      </c>
      <c r="G13" s="21" t="n">
        <f>3158798527410.0</f>
        <v>3.15879852741E12</v>
      </c>
      <c r="H13" s="22" t="n">
        <f>166909060860.0</f>
        <v>1.6690906086E11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387778.0</f>
        <v>387778.0</v>
      </c>
      <c r="E14" s="22" t="n">
        <f>23039.0</f>
        <v>23039.0</v>
      </c>
      <c r="F14" s="23" t="n">
        <f>1.0</f>
        <v>1.0</v>
      </c>
      <c r="G14" s="21" t="n">
        <f>4608592178645.0</f>
        <v>4.608592178645E12</v>
      </c>
      <c r="H14" s="22" t="n">
        <f>566897642420.0</f>
        <v>5.6689764242E11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1378356.0</f>
        <v>1378356.0</v>
      </c>
      <c r="E15" s="26" t="n">
        <f>71979.0</f>
        <v>71979.0</v>
      </c>
      <c r="F15" s="27" t="n">
        <f>1.0</f>
        <v>1.0</v>
      </c>
      <c r="G15" s="25" t="n">
        <f>12330159704995.0</f>
        <v>1.2330159704995E13</v>
      </c>
      <c r="H15" s="26" t="n">
        <f>1087458341570.0</f>
        <v>1.08745834157E12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13422.0</f>
        <v>13422.0</v>
      </c>
      <c r="E16" s="18" t="n">
        <f>337.0</f>
        <v>337.0</v>
      </c>
      <c r="F16" s="19" t="n">
        <f>0.02</f>
        <v>0.02</v>
      </c>
      <c r="G16" s="17" t="n">
        <f>1522055490000.0</f>
        <v>1.52205549E12</v>
      </c>
      <c r="H16" s="18" t="n">
        <f>42086460000.0</f>
        <v>4.208646E10</v>
      </c>
      <c r="I16" s="19" t="n">
        <f>0.334</f>
        <v>0.334</v>
      </c>
    </row>
    <row r="17" spans="1:9" ht="24.9" customHeight="1">
      <c r="A17" s="41"/>
      <c r="B17" s="39"/>
      <c r="C17" s="20" t="s">
        <v>16</v>
      </c>
      <c r="D17" s="21" t="n">
        <f>13580.0</f>
        <v>13580.0</v>
      </c>
      <c r="E17" s="22" t="n">
        <f>368.0</f>
        <v>368.0</v>
      </c>
      <c r="F17" s="23" t="n">
        <f>0.042</f>
        <v>0.042</v>
      </c>
      <c r="G17" s="21" t="n">
        <f>1383851022750.0</f>
        <v>1.38385102275E12</v>
      </c>
      <c r="H17" s="22" t="n">
        <f>45992590000.0</f>
        <v>4.599259E10</v>
      </c>
      <c r="I17" s="23" t="n">
        <f>0.438</f>
        <v>0.438</v>
      </c>
    </row>
    <row r="18" spans="1:9" ht="24.9" customHeight="1">
      <c r="A18" s="41"/>
      <c r="B18" s="39"/>
      <c r="C18" s="20" t="s">
        <v>17</v>
      </c>
      <c r="D18" s="21" t="n">
        <f>19008.0</f>
        <v>19008.0</v>
      </c>
      <c r="E18" s="22" t="n">
        <f>1268.0</f>
        <v>1268.0</v>
      </c>
      <c r="F18" s="23" t="n">
        <f>0.049</f>
        <v>0.049</v>
      </c>
      <c r="G18" s="21" t="n">
        <f>1839777090125.0</f>
        <v>1.839777090125E12</v>
      </c>
      <c r="H18" s="22" t="n">
        <f>158651445000.0</f>
        <v>1.58651445E11</v>
      </c>
      <c r="I18" s="23" t="n">
        <f>0.399</f>
        <v>0.399</v>
      </c>
    </row>
    <row r="19" spans="1:9" ht="24.9" customHeight="1">
      <c r="A19" s="41"/>
      <c r="B19" s="39"/>
      <c r="C19" s="24" t="s">
        <v>18</v>
      </c>
      <c r="D19" s="25" t="n">
        <f>46010.0</f>
        <v>46010.0</v>
      </c>
      <c r="E19" s="26" t="n">
        <f>1973.0</f>
        <v>1973.0</v>
      </c>
      <c r="F19" s="27" t="n">
        <f>0.033</f>
        <v>0.033</v>
      </c>
      <c r="G19" s="25" t="n">
        <f>4745683602875.0</f>
        <v>4.745683602875E12</v>
      </c>
      <c r="H19" s="26" t="n">
        <f>246730495000.0</f>
        <v>2.46730495E11</v>
      </c>
      <c r="I19" s="27" t="n">
        <f>0.385</f>
        <v>0.385</v>
      </c>
    </row>
    <row r="20" spans="1:9" ht="24.9" customHeight="1">
      <c r="A20" s="41"/>
      <c r="B20" s="39" t="s">
        <v>21</v>
      </c>
      <c r="C20" s="16" t="s">
        <v>15</v>
      </c>
      <c r="D20" s="17" t="n">
        <f>641652.0</f>
        <v>641652.0</v>
      </c>
      <c r="E20" s="18" t="n">
        <f>33411.0</f>
        <v>33411.0</v>
      </c>
      <c r="F20" s="19" t="n">
        <f>0.961</f>
        <v>0.961</v>
      </c>
      <c r="G20" s="17" t="n">
        <f>2920797384290.0</f>
        <v>2.92079738429E12</v>
      </c>
      <c r="H20" s="18" t="n">
        <f>311565178290.0</f>
        <v>3.1156517829E11</v>
      </c>
      <c r="I20" s="19" t="n">
        <f>0.64</f>
        <v>0.64</v>
      </c>
    </row>
    <row r="21" spans="1:9" ht="24.9" customHeight="1">
      <c r="A21" s="41"/>
      <c r="B21" s="39"/>
      <c r="C21" s="20" t="s">
        <v>16</v>
      </c>
      <c r="D21" s="21" t="n">
        <f>304300.0</f>
        <v>304300.0</v>
      </c>
      <c r="E21" s="22" t="n">
        <f>14819.0</f>
        <v>14819.0</v>
      </c>
      <c r="F21" s="23" t="n">
        <f>0.943</f>
        <v>0.943</v>
      </c>
      <c r="G21" s="21" t="n">
        <f>1735306392160.0</f>
        <v>1.73530639216E12</v>
      </c>
      <c r="H21" s="22" t="n">
        <f>120846725860.0</f>
        <v>1.2084672586E11</v>
      </c>
      <c r="I21" s="23" t="n">
        <f>0.549</f>
        <v>0.549</v>
      </c>
    </row>
    <row r="22" spans="1:9" ht="24.9" customHeight="1">
      <c r="A22" s="41"/>
      <c r="B22" s="39"/>
      <c r="C22" s="20" t="s">
        <v>17</v>
      </c>
      <c r="D22" s="21" t="n">
        <f>359556.0</f>
        <v>359556.0</v>
      </c>
      <c r="E22" s="22" t="n">
        <f>21547.0</f>
        <v>21547.0</v>
      </c>
      <c r="F22" s="23" t="n">
        <f>0.927</f>
        <v>0.927</v>
      </c>
      <c r="G22" s="21" t="n">
        <f>2694612291920.0</f>
        <v>2.69461229192E12</v>
      </c>
      <c r="H22" s="22" t="n">
        <f>407782624220.0</f>
        <v>4.0778262422E11</v>
      </c>
      <c r="I22" s="23" t="n">
        <f>0.585</f>
        <v>0.585</v>
      </c>
    </row>
    <row r="23" spans="1:9" ht="24.9" customHeight="1">
      <c r="A23" s="41"/>
      <c r="B23" s="39"/>
      <c r="C23" s="24" t="s">
        <v>18</v>
      </c>
      <c r="D23" s="25" t="n">
        <f>1305508.0</f>
        <v>1305508.0</v>
      </c>
      <c r="E23" s="26" t="n">
        <f>69777.0</f>
        <v>69777.0</v>
      </c>
      <c r="F23" s="27" t="n">
        <f>0.947</f>
        <v>0.947</v>
      </c>
      <c r="G23" s="25" t="n">
        <f>7350716068370.0</f>
        <v>7.35071606837E12</v>
      </c>
      <c r="H23" s="26" t="n">
        <f>840194528370.0</f>
        <v>8.4019452837E11</v>
      </c>
      <c r="I23" s="27" t="n">
        <f>0.596</f>
        <v>0.596</v>
      </c>
    </row>
    <row r="24" spans="1:9" ht="24.9" customHeight="1">
      <c r="A24" s="41"/>
      <c r="B24" s="39" t="s">
        <v>22</v>
      </c>
      <c r="C24" s="16" t="s">
        <v>15</v>
      </c>
      <c r="D24" s="17" t="n">
        <f>11940.0</f>
        <v>11940.0</v>
      </c>
      <c r="E24" s="18" t="n">
        <f>0.0</f>
        <v>0.0</v>
      </c>
      <c r="F24" s="19" t="n">
        <f>0.018</f>
        <v>0.018</v>
      </c>
      <c r="G24" s="17" t="n">
        <f>116255718150.0</f>
        <v>1.1625571815E11</v>
      </c>
      <c r="H24" s="18" t="n">
        <f>0.0</f>
        <v>0.0</v>
      </c>
      <c r="I24" s="19" t="n">
        <f>0.025</f>
        <v>0.025</v>
      </c>
    </row>
    <row r="25" spans="1:9" ht="24.9" customHeight="1">
      <c r="A25" s="41"/>
      <c r="B25" s="39"/>
      <c r="C25" s="20" t="s">
        <v>16</v>
      </c>
      <c r="D25" s="21" t="n">
        <f>4621.0</f>
        <v>4621.0</v>
      </c>
      <c r="E25" s="22" t="n">
        <f>5.0</f>
        <v>5.0</v>
      </c>
      <c r="F25" s="23" t="n">
        <f>0.014</f>
        <v>0.014</v>
      </c>
      <c r="G25" s="21" t="n">
        <f>38736397000.0</f>
        <v>3.8736397E10</v>
      </c>
      <c r="H25" s="22" t="n">
        <f>69745000.0</f>
        <v>6.9745E7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7664.0</f>
        <v>7664.0</v>
      </c>
      <c r="E26" s="22" t="n">
        <f>20.0</f>
        <v>20.0</v>
      </c>
      <c r="F26" s="23" t="n">
        <f>0.02</f>
        <v>0.02</v>
      </c>
      <c r="G26" s="21" t="n">
        <f>67981831400.0</f>
        <v>6.79818314E10</v>
      </c>
      <c r="H26" s="22" t="n">
        <f>50250000.0</f>
        <v>5.025E7</v>
      </c>
      <c r="I26" s="23" t="n">
        <f>0.015</f>
        <v>0.015</v>
      </c>
    </row>
    <row r="27" spans="1:9" ht="24.9" customHeight="1">
      <c r="A27" s="42"/>
      <c r="B27" s="39"/>
      <c r="C27" s="24" t="s">
        <v>18</v>
      </c>
      <c r="D27" s="25" t="n">
        <f>24225.0</f>
        <v>24225.0</v>
      </c>
      <c r="E27" s="26" t="n">
        <f>25.0</f>
        <v>25.0</v>
      </c>
      <c r="F27" s="27" t="n">
        <f>0.018</f>
        <v>0.018</v>
      </c>
      <c r="G27" s="25" t="n">
        <f>222973946550.0</f>
        <v>2.2297394655E11</v>
      </c>
      <c r="H27" s="26" t="n">
        <f>119995000.0</f>
        <v>1.19995E8</v>
      </c>
      <c r="I27" s="27" t="n">
        <f>0.018</f>
        <v>0.018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851.0</f>
        <v>851.0</v>
      </c>
      <c r="E28" s="18" t="n">
        <f>0.0</f>
        <v>0.0</v>
      </c>
      <c r="F28" s="19" t="n">
        <f>0.001</f>
        <v>0.001</v>
      </c>
      <c r="G28" s="17" t="n">
        <f>3660406500.0</f>
        <v>3.6604065E9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212.0</f>
        <v>212.0</v>
      </c>
      <c r="E29" s="22" t="n">
        <f>0.0</f>
        <v>0.0</v>
      </c>
      <c r="F29" s="23" t="n">
        <f>0.001</f>
        <v>0.001</v>
      </c>
      <c r="G29" s="21" t="n">
        <f>904715500.0</f>
        <v>9.047155E8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1550.0</f>
        <v>1550.0</v>
      </c>
      <c r="E30" s="22" t="n">
        <f>204.0</f>
        <v>204.0</v>
      </c>
      <c r="F30" s="23" t="n">
        <f>0.004</f>
        <v>0.004</v>
      </c>
      <c r="G30" s="21" t="n">
        <f>6220965200.0</f>
        <v>6.2209652E9</v>
      </c>
      <c r="H30" s="22" t="n">
        <f>413323200.0</f>
        <v>4.133232E8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2613.0</f>
        <v>2613.0</v>
      </c>
      <c r="E31" s="26" t="n">
        <f>204.0</f>
        <v>204.0</v>
      </c>
      <c r="F31" s="27" t="n">
        <f>0.002</f>
        <v>0.002</v>
      </c>
      <c r="G31" s="25" t="n">
        <f>10786087200.0</f>
        <v>1.07860872E10</v>
      </c>
      <c r="H31" s="26" t="n">
        <f>413323200.0</f>
        <v>4.133232E8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46281.0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46281.0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14186</f>
        <v>14186.0</v>
      </c>
      <c r="E11" s="18" t="n">
        <f>2049</f>
        <v>2049.0</v>
      </c>
      <c r="F11" s="19" t="n">
        <f>1</f>
        <v>1.0</v>
      </c>
      <c r="G11" s="17" t="n">
        <f>1613617450</f>
        <v>1.61361745E9</v>
      </c>
      <c r="H11" s="18" t="n">
        <f>554943050</f>
        <v>5.5494305E8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19431</f>
        <v>19431.0</v>
      </c>
      <c r="E12" s="22" t="n">
        <f>1913</f>
        <v>1913.0</v>
      </c>
      <c r="F12" s="23" t="n">
        <f>1</f>
        <v>1.0</v>
      </c>
      <c r="G12" s="21" t="n">
        <f>2741283071</f>
        <v>2.741283071E9</v>
      </c>
      <c r="H12" s="22" t="n">
        <f>1877989370</f>
        <v>1.87798937E9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47488</f>
        <v>47488.0</v>
      </c>
      <c r="E13" s="22" t="n">
        <f>22192</f>
        <v>22192.0</v>
      </c>
      <c r="F13" s="23" t="n">
        <f>1</f>
        <v>1.0</v>
      </c>
      <c r="G13" s="21" t="n">
        <f>31097880980</f>
        <v>3.109788098E10</v>
      </c>
      <c r="H13" s="22" t="n">
        <f>29239037062</f>
        <v>2.9239037062E10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81105</f>
        <v>81105.0</v>
      </c>
      <c r="E14" s="26" t="n">
        <f>26154</f>
        <v>26154.0</v>
      </c>
      <c r="F14" s="27" t="n">
        <f>1</f>
        <v>1.0</v>
      </c>
      <c r="G14" s="25" t="n">
        <f>35452781501</f>
        <v>3.5452781501E10</v>
      </c>
      <c r="H14" s="26" t="n">
        <f>31671969482</f>
        <v>3.1671969482E10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58</f>
        <v>58.0</v>
      </c>
      <c r="E16" s="22" t="n">
        <f>0</f>
        <v>0.0</v>
      </c>
      <c r="F16" s="23" t="n">
        <f>0.003</f>
        <v>0.003</v>
      </c>
      <c r="G16" s="21" t="n">
        <f>11920000</f>
        <v>1.192E7</v>
      </c>
      <c r="H16" s="22" t="n">
        <f>0</f>
        <v>0.0</v>
      </c>
      <c r="I16" s="23" t="n">
        <f>0.004</f>
        <v>0.004</v>
      </c>
    </row>
    <row r="17" spans="1:9" ht="24.9" customHeight="1">
      <c r="A17" s="41"/>
      <c r="B17" s="39"/>
      <c r="C17" s="20" t="s">
        <v>17</v>
      </c>
      <c r="D17" s="21" t="n">
        <f>255</f>
        <v>255.0</v>
      </c>
      <c r="E17" s="22" t="n">
        <f>0</f>
        <v>0.0</v>
      </c>
      <c r="F17" s="23" t="n">
        <f>0.005</f>
        <v>0.005</v>
      </c>
      <c r="G17" s="21" t="n">
        <f>12540000</f>
        <v>1.254E7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313</f>
        <v>313.0</v>
      </c>
      <c r="E18" s="26" t="n">
        <f>0</f>
        <v>0.0</v>
      </c>
      <c r="F18" s="27" t="n">
        <f>0.004</f>
        <v>0.004</v>
      </c>
      <c r="G18" s="25" t="n">
        <f>24460000</f>
        <v>2.446E7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14186</f>
        <v>14186.0</v>
      </c>
      <c r="E19" s="18" t="n">
        <f>2049</f>
        <v>2049.0</v>
      </c>
      <c r="F19" s="19" t="n">
        <f>1</f>
        <v>1.0</v>
      </c>
      <c r="G19" s="17" t="n">
        <f>1613617450</f>
        <v>1.61361745E9</v>
      </c>
      <c r="H19" s="18" t="n">
        <f>554943050</f>
        <v>5.5494305E8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10755</f>
        <v>10755.0</v>
      </c>
      <c r="E20" s="22" t="n">
        <f>1913</f>
        <v>1913.0</v>
      </c>
      <c r="F20" s="23" t="n">
        <f>0.553</f>
        <v>0.553</v>
      </c>
      <c r="G20" s="21" t="n">
        <f>2701519170</f>
        <v>2.70151917E9</v>
      </c>
      <c r="H20" s="22" t="n">
        <f>1877989370</f>
        <v>1.87798937E9</v>
      </c>
      <c r="I20" s="23" t="n">
        <f>0.985</f>
        <v>0.985</v>
      </c>
    </row>
    <row r="21" spans="1:9" ht="24.9" customHeight="1">
      <c r="A21" s="41"/>
      <c r="B21" s="39"/>
      <c r="C21" s="20" t="s">
        <v>17</v>
      </c>
      <c r="D21" s="21" t="n">
        <f>41796</f>
        <v>41796.0</v>
      </c>
      <c r="E21" s="22" t="n">
        <f>22099</f>
        <v>22099.0</v>
      </c>
      <c r="F21" s="23" t="n">
        <f>0.88</f>
        <v>0.88</v>
      </c>
      <c r="G21" s="21" t="n">
        <f>31057068262</f>
        <v>3.1057068262E10</v>
      </c>
      <c r="H21" s="22" t="n">
        <f>29225561362</f>
        <v>2.9225561362E10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66737</f>
        <v>66737.0</v>
      </c>
      <c r="E22" s="26" t="n">
        <f>26061</f>
        <v>26061.0</v>
      </c>
      <c r="F22" s="27" t="n">
        <f>0.823</f>
        <v>0.823</v>
      </c>
      <c r="G22" s="25" t="n">
        <f>35372204882</f>
        <v>3.5372204882E10</v>
      </c>
      <c r="H22" s="26" t="n">
        <f>31658493782</f>
        <v>3.1658493782E10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8618</f>
        <v>8618.0</v>
      </c>
      <c r="E24" s="22" t="n">
        <f>0</f>
        <v>0.0</v>
      </c>
      <c r="F24" s="23" t="n">
        <f>0.444</f>
        <v>0.444</v>
      </c>
      <c r="G24" s="21" t="n">
        <f>27843901</f>
        <v>2.7843901E7</v>
      </c>
      <c r="H24" s="22" t="n">
        <f>0</f>
        <v>0.0</v>
      </c>
      <c r="I24" s="23" t="n">
        <f>0.01</f>
        <v>0.01</v>
      </c>
    </row>
    <row r="25" spans="1:9" ht="24.9" customHeight="1">
      <c r="A25" s="41"/>
      <c r="B25" s="39"/>
      <c r="C25" s="20" t="s">
        <v>17</v>
      </c>
      <c r="D25" s="21" t="n">
        <f>5437</f>
        <v>5437.0</v>
      </c>
      <c r="E25" s="22" t="n">
        <f>93</f>
        <v>93.0</v>
      </c>
      <c r="F25" s="23" t="n">
        <f>0.114</f>
        <v>0.114</v>
      </c>
      <c r="G25" s="21" t="n">
        <f>28272718</f>
        <v>2.8272718E7</v>
      </c>
      <c r="H25" s="22" t="n">
        <f>13475700</f>
        <v>1.34757E7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14055</f>
        <v>14055.0</v>
      </c>
      <c r="E26" s="26" t="n">
        <f>93</f>
        <v>93.0</v>
      </c>
      <c r="F26" s="27" t="n">
        <f>0.173</f>
        <v>0.173</v>
      </c>
      <c r="G26" s="25" t="n">
        <f>56116619</f>
        <v>5.6116619E7</v>
      </c>
      <c r="H26" s="26" t="n">
        <f>13475700</f>
        <v>1.34757E7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46281.0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46281.0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9669.0</v>
      </c>
      <c r="F12" s="18" t="n">
        <f>1353</f>
        <v>1353.0</v>
      </c>
      <c r="G12" s="17" t="n">
        <v>6.135430735E11</v>
      </c>
      <c r="H12" s="18" t="n">
        <f>85899873500</f>
        <v>8.58998735E10</v>
      </c>
    </row>
    <row r="13" spans="1:8" ht="24.9" customHeight="1">
      <c r="A13" s="51"/>
      <c r="B13" s="57"/>
      <c r="C13" s="39"/>
      <c r="D13" s="20" t="s">
        <v>16</v>
      </c>
      <c r="E13" s="21" t="n">
        <v>6190.0</v>
      </c>
      <c r="F13" s="22" t="n">
        <f>372</f>
        <v>372.0</v>
      </c>
      <c r="G13" s="21" t="n">
        <v>3.915926984E11</v>
      </c>
      <c r="H13" s="22" t="n">
        <f>23506188400</f>
        <v>2.35061884E10</v>
      </c>
    </row>
    <row r="14" spans="1:8" ht="24.9" customHeight="1">
      <c r="A14" s="51"/>
      <c r="B14" s="57"/>
      <c r="C14" s="39"/>
      <c r="D14" s="20" t="s">
        <v>17</v>
      </c>
      <c r="E14" s="21" t="n">
        <v>13714.0</v>
      </c>
      <c r="F14" s="22" t="n">
        <f>2747</f>
        <v>2747.0</v>
      </c>
      <c r="G14" s="21" t="n">
        <v>8.713513516E11</v>
      </c>
      <c r="H14" s="22" t="n">
        <f>174313731600</f>
        <v>1.743137316E11</v>
      </c>
    </row>
    <row r="15" spans="1:8" ht="24.9" customHeight="1">
      <c r="A15" s="51"/>
      <c r="B15" s="57"/>
      <c r="C15" s="39"/>
      <c r="D15" s="24" t="s">
        <v>18</v>
      </c>
      <c r="E15" s="25" t="n">
        <v>29573.0</v>
      </c>
      <c r="F15" s="26" t="n">
        <f>4472</f>
        <v>4472.0</v>
      </c>
      <c r="G15" s="25" t="n">
        <v>1.8764871235E12</v>
      </c>
      <c r="H15" s="26" t="n">
        <f>283719793500</f>
        <v>2.837197935E11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238643.0</v>
      </c>
      <c r="F16" s="18" t="n">
        <f>30959</f>
        <v>30959.0</v>
      </c>
      <c r="G16" s="17" t="n">
        <v>1.51417202693E12</v>
      </c>
      <c r="H16" s="18" t="n">
        <f>196432775930</f>
        <v>1.9643277593E11</v>
      </c>
    </row>
    <row r="17" spans="1:8" ht="24.9" customHeight="1">
      <c r="A17" s="51"/>
      <c r="B17" s="57"/>
      <c r="C17" s="39"/>
      <c r="D17" s="20" t="s">
        <v>16</v>
      </c>
      <c r="E17" s="21" t="n">
        <v>114124.0</v>
      </c>
      <c r="F17" s="22" t="n">
        <f>13932</f>
        <v>13932.0</v>
      </c>
      <c r="G17" s="21" t="n">
        <v>7.2201954006E11</v>
      </c>
      <c r="H17" s="22" t="n">
        <f>88126308560</f>
        <v>8.812630856E10</v>
      </c>
    </row>
    <row r="18" spans="1:8" ht="24.9" customHeight="1">
      <c r="A18" s="51"/>
      <c r="B18" s="57"/>
      <c r="C18" s="39"/>
      <c r="D18" s="20" t="s">
        <v>17</v>
      </c>
      <c r="E18" s="21" t="n">
        <v>139983.0</v>
      </c>
      <c r="F18" s="22" t="n">
        <f>15020</f>
        <v>15020.0</v>
      </c>
      <c r="G18" s="21" t="n">
        <v>8.8908824466E11</v>
      </c>
      <c r="H18" s="22" t="n">
        <f>95364187160</f>
        <v>9.536418716E10</v>
      </c>
    </row>
    <row r="19" spans="1:8" ht="24.9" customHeight="1">
      <c r="A19" s="51"/>
      <c r="B19" s="57"/>
      <c r="C19" s="39"/>
      <c r="D19" s="24" t="s">
        <v>18</v>
      </c>
      <c r="E19" s="25" t="n">
        <v>492750.0</v>
      </c>
      <c r="F19" s="26" t="n">
        <f>59911</f>
        <v>59911.0</v>
      </c>
      <c r="G19" s="25" t="n">
        <v>3.12527981165E12</v>
      </c>
      <c r="H19" s="26" t="n">
        <f>379923271650</f>
        <v>3.7992327165E11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372933.0</v>
      </c>
      <c r="F20" s="18" t="str">
        <f>"－"</f>
        <v>－</v>
      </c>
      <c r="G20" s="17" t="n">
        <v>2.3662550965E11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165383.0</v>
      </c>
      <c r="F21" s="22" t="str">
        <f>"－"</f>
        <v>－</v>
      </c>
      <c r="G21" s="21" t="n">
        <v>1.0462494955E11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177933.0</v>
      </c>
      <c r="F22" s="22" t="str">
        <f>"－"</f>
        <v>－</v>
      </c>
      <c r="G22" s="21" t="n">
        <v>1.1297634895E11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716249.0</v>
      </c>
      <c r="F23" s="26" t="str">
        <f>"－"</f>
        <v>－</v>
      </c>
      <c r="G23" s="25" t="n">
        <v>4.5422680815E11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13189.0</v>
      </c>
      <c r="F24" s="18" t="n">
        <f>694</f>
        <v>694.0</v>
      </c>
      <c r="G24" s="17" t="n">
        <v>5.3016738443E11</v>
      </c>
      <c r="H24" s="18" t="n">
        <f>27860864430</f>
        <v>2.786086443E10</v>
      </c>
    </row>
    <row r="25" spans="1:8" ht="24.9" customHeight="1">
      <c r="A25" s="51"/>
      <c r="B25" s="57"/>
      <c r="C25" s="39"/>
      <c r="D25" s="20" t="s">
        <v>16</v>
      </c>
      <c r="E25" s="21" t="n">
        <v>12253.0</v>
      </c>
      <c r="F25" s="22" t="n">
        <f>190</f>
        <v>190.0</v>
      </c>
      <c r="G25" s="21" t="n">
        <v>4.950034645E11</v>
      </c>
      <c r="H25" s="22" t="n">
        <f>7647346500</f>
        <v>7.6473465E9</v>
      </c>
    </row>
    <row r="26" spans="1:8" ht="24.9" customHeight="1">
      <c r="A26" s="51"/>
      <c r="B26" s="57"/>
      <c r="C26" s="39"/>
      <c r="D26" s="20" t="s">
        <v>17</v>
      </c>
      <c r="E26" s="21" t="n">
        <v>19592.0</v>
      </c>
      <c r="F26" s="22" t="n">
        <f>3388</f>
        <v>3388.0</v>
      </c>
      <c r="G26" s="21" t="n">
        <v>7.911345699E11</v>
      </c>
      <c r="H26" s="22" t="n">
        <f>136758114900</f>
        <v>1.367581149E11</v>
      </c>
    </row>
    <row r="27" spans="1:8" ht="24.9" customHeight="1">
      <c r="A27" s="51"/>
      <c r="B27" s="57"/>
      <c r="C27" s="39"/>
      <c r="D27" s="24" t="s">
        <v>18</v>
      </c>
      <c r="E27" s="25" t="n">
        <v>45034.0</v>
      </c>
      <c r="F27" s="26" t="n">
        <f>4272</f>
        <v>4272.0</v>
      </c>
      <c r="G27" s="25" t="n">
        <v>1.81630541883E12</v>
      </c>
      <c r="H27" s="26" t="n">
        <f>172266325830</f>
        <v>1.7226632583E11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5675.0</v>
      </c>
      <c r="F28" s="18" t="n">
        <f>302</f>
        <v>302.0</v>
      </c>
      <c r="G28" s="17" t="n">
        <v>2.28174168E10</v>
      </c>
      <c r="H28" s="18" t="n">
        <f>1214183550</f>
        <v>1.21418355E9</v>
      </c>
    </row>
    <row r="29" spans="1:8" ht="24.9" customHeight="1">
      <c r="A29" s="51"/>
      <c r="B29" s="57"/>
      <c r="C29" s="39"/>
      <c r="D29" s="20" t="s">
        <v>16</v>
      </c>
      <c r="E29" s="21" t="n">
        <v>4580.0</v>
      </c>
      <c r="F29" s="22" t="n">
        <f>218</f>
        <v>218.0</v>
      </c>
      <c r="G29" s="21" t="n">
        <v>1.849356115E10</v>
      </c>
      <c r="H29" s="22" t="n">
        <f>879830900</f>
        <v>8.798309E8</v>
      </c>
    </row>
    <row r="30" spans="1:8" ht="24.9" customHeight="1">
      <c r="A30" s="51"/>
      <c r="B30" s="57"/>
      <c r="C30" s="39"/>
      <c r="D30" s="20" t="s">
        <v>17</v>
      </c>
      <c r="E30" s="21" t="n">
        <v>6383.0</v>
      </c>
      <c r="F30" s="22" t="n">
        <f>148</f>
        <v>148.0</v>
      </c>
      <c r="G30" s="21" t="n">
        <v>2.577647195E10</v>
      </c>
      <c r="H30" s="22" t="n">
        <f>597580200</f>
        <v>5.975802E8</v>
      </c>
    </row>
    <row r="31" spans="1:8" ht="24.9" customHeight="1">
      <c r="A31" s="51"/>
      <c r="B31" s="57"/>
      <c r="C31" s="39"/>
      <c r="D31" s="24" t="s">
        <v>18</v>
      </c>
      <c r="E31" s="25" t="n">
        <v>16638.0</v>
      </c>
      <c r="F31" s="26" t="n">
        <f>668</f>
        <v>668.0</v>
      </c>
      <c r="G31" s="25" t="n">
        <v>6.70874499E10</v>
      </c>
      <c r="H31" s="26" t="n">
        <f>2691594650</f>
        <v>2.69159465E9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293.0</v>
      </c>
      <c r="F36" s="18" t="n">
        <f>0</f>
        <v>0.0</v>
      </c>
      <c r="G36" s="17" t="n">
        <v>1.05833E9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456.0</v>
      </c>
      <c r="F37" s="22" t="n">
        <f>1</f>
        <v>1.0</v>
      </c>
      <c r="G37" s="21" t="n">
        <v>1.6534205E9</v>
      </c>
      <c r="H37" s="22" t="n">
        <f>3620000</f>
        <v>3620000.0</v>
      </c>
    </row>
    <row r="38" spans="1:8" ht="24.9" customHeight="1">
      <c r="A38" s="51"/>
      <c r="B38" s="57"/>
      <c r="C38" s="39"/>
      <c r="D38" s="20" t="s">
        <v>17</v>
      </c>
      <c r="E38" s="21" t="n">
        <v>692.0</v>
      </c>
      <c r="F38" s="22" t="n">
        <f>4</f>
        <v>4.0</v>
      </c>
      <c r="G38" s="21" t="n">
        <v>2.5079655E9</v>
      </c>
      <c r="H38" s="22" t="n">
        <f>14482000</f>
        <v>1.4482E7</v>
      </c>
    </row>
    <row r="39" spans="1:8" ht="24.9" customHeight="1">
      <c r="A39" s="51"/>
      <c r="B39" s="57"/>
      <c r="C39" s="39"/>
      <c r="D39" s="24" t="s">
        <v>18</v>
      </c>
      <c r="E39" s="25" t="n">
        <v>1441.0</v>
      </c>
      <c r="F39" s="26" t="n">
        <f>5</f>
        <v>5.0</v>
      </c>
      <c r="G39" s="25" t="n">
        <v>5.219716E9</v>
      </c>
      <c r="H39" s="26" t="n">
        <f>18102000</f>
        <v>1.8102E7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88.0</v>
      </c>
      <c r="F45" s="22" t="n">
        <f>88</f>
        <v>88.0</v>
      </c>
      <c r="G45" s="21" t="n">
        <v>6.6968E8</v>
      </c>
      <c r="H45" s="22" t="n">
        <f>669680000</f>
        <v>6.6968E8</v>
      </c>
    </row>
    <row r="46" spans="1:8" ht="24.9" customHeight="1">
      <c r="A46" s="51"/>
      <c r="B46" s="57"/>
      <c r="C46" s="39"/>
      <c r="D46" s="20" t="s">
        <v>17</v>
      </c>
      <c r="E46" s="21" t="n">
        <v>60.0</v>
      </c>
      <c r="F46" s="22" t="n">
        <f>60</f>
        <v>60.0</v>
      </c>
      <c r="G46" s="21" t="n">
        <v>4.53318E8</v>
      </c>
      <c r="H46" s="22" t="n">
        <f>453318000</f>
        <v>4.53318E8</v>
      </c>
    </row>
    <row r="47" spans="1:8" ht="24.9" customHeight="1">
      <c r="A47" s="51"/>
      <c r="B47" s="57"/>
      <c r="C47" s="39"/>
      <c r="D47" s="24" t="s">
        <v>18</v>
      </c>
      <c r="E47" s="25" t="n">
        <v>148.0</v>
      </c>
      <c r="F47" s="26" t="n">
        <f>148</f>
        <v>148.0</v>
      </c>
      <c r="G47" s="25" t="n">
        <v>1.122998E9</v>
      </c>
      <c r="H47" s="26" t="n">
        <f>1122998000</f>
        <v>1.122998E9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71.0</v>
      </c>
      <c r="F48" s="18" t="n">
        <f>71</f>
        <v>71.0</v>
      </c>
      <c r="G48" s="17" t="n">
        <v>1.2383408E8</v>
      </c>
      <c r="H48" s="18" t="n">
        <f>123834080</f>
        <v>1.2383408E8</v>
      </c>
    </row>
    <row r="49" spans="1:8" ht="24.9" customHeight="1">
      <c r="A49" s="51"/>
      <c r="B49" s="57"/>
      <c r="C49" s="39"/>
      <c r="D49" s="20" t="s">
        <v>16</v>
      </c>
      <c r="E49" s="21" t="n">
        <v>78.0</v>
      </c>
      <c r="F49" s="22" t="n">
        <f>0</f>
        <v>0.0</v>
      </c>
      <c r="G49" s="21" t="n">
        <v>1.360525E8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265.0</v>
      </c>
      <c r="F50" s="22" t="n">
        <f>149</f>
        <v>149.0</v>
      </c>
      <c r="G50" s="21" t="n">
        <v>4.5929538E8</v>
      </c>
      <c r="H50" s="22" t="n">
        <f>257485380</f>
        <v>2.5748538E8</v>
      </c>
    </row>
    <row r="51" spans="1:8" ht="24.9" customHeight="1">
      <c r="A51" s="51"/>
      <c r="B51" s="57"/>
      <c r="C51" s="39"/>
      <c r="D51" s="24" t="s">
        <v>18</v>
      </c>
      <c r="E51" s="25" t="n">
        <v>414.0</v>
      </c>
      <c r="F51" s="26" t="n">
        <f>220</f>
        <v>220.0</v>
      </c>
      <c r="G51" s="25" t="n">
        <v>7.1918196E8</v>
      </c>
      <c r="H51" s="26" t="n">
        <f>381319460</f>
        <v>3.8131946E8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501.0</v>
      </c>
      <c r="F56" s="18" t="n">
        <f>30</f>
        <v>30.0</v>
      </c>
      <c r="G56" s="17" t="n">
        <v>3.878649E8</v>
      </c>
      <c r="H56" s="18" t="n">
        <f>23243900</f>
        <v>2.32439E7</v>
      </c>
    </row>
    <row r="57" spans="1:8" ht="24.9" customHeight="1">
      <c r="A57" s="51"/>
      <c r="B57" s="57"/>
      <c r="C57" s="39"/>
      <c r="D57" s="20" t="s">
        <v>16</v>
      </c>
      <c r="E57" s="21" t="n">
        <v>1071.0</v>
      </c>
      <c r="F57" s="22" t="n">
        <f>18</f>
        <v>18.0</v>
      </c>
      <c r="G57" s="21" t="n">
        <v>8.225725E8</v>
      </c>
      <c r="H57" s="22" t="n">
        <f>13751500</f>
        <v>1.37515E7</v>
      </c>
    </row>
    <row r="58" spans="1:8" ht="24.9" customHeight="1">
      <c r="A58" s="51"/>
      <c r="B58" s="57"/>
      <c r="C58" s="39"/>
      <c r="D58" s="20" t="s">
        <v>17</v>
      </c>
      <c r="E58" s="21" t="n">
        <v>846.0</v>
      </c>
      <c r="F58" s="22" t="n">
        <f>31</f>
        <v>31.0</v>
      </c>
      <c r="G58" s="21" t="n">
        <v>6.4341698E8</v>
      </c>
      <c r="H58" s="22" t="n">
        <f>23724980</f>
        <v>2.372498E7</v>
      </c>
    </row>
    <row r="59" spans="1:8" ht="24.9" customHeight="1">
      <c r="A59" s="51"/>
      <c r="B59" s="57"/>
      <c r="C59" s="39"/>
      <c r="D59" s="24" t="s">
        <v>18</v>
      </c>
      <c r="E59" s="25" t="n">
        <v>2418.0</v>
      </c>
      <c r="F59" s="26" t="n">
        <f>79</f>
        <v>79.0</v>
      </c>
      <c r="G59" s="25" t="n">
        <v>1.85385438E9</v>
      </c>
      <c r="H59" s="26" t="n">
        <f>60720380</f>
        <v>6.072038E7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165.0</v>
      </c>
      <c r="F60" s="18" t="n">
        <f>2</f>
        <v>2.0</v>
      </c>
      <c r="G60" s="17" t="n">
        <v>8.603307E8</v>
      </c>
      <c r="H60" s="18" t="n">
        <f>10402900</f>
        <v>1.04029E7</v>
      </c>
    </row>
    <row r="61" spans="1:8" ht="24.9" customHeight="1">
      <c r="A61" s="51"/>
      <c r="B61" s="57"/>
      <c r="C61" s="39"/>
      <c r="D61" s="20" t="s">
        <v>16</v>
      </c>
      <c r="E61" s="21" t="n">
        <v>47.0</v>
      </c>
      <c r="F61" s="22" t="n">
        <f>0</f>
        <v>0.0</v>
      </c>
      <c r="G61" s="21" t="n">
        <v>2.453988E8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23.0</v>
      </c>
      <c r="F62" s="22" t="n">
        <f>0</f>
        <v>0.0</v>
      </c>
      <c r="G62" s="21" t="n">
        <v>1.207939E8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235.0</v>
      </c>
      <c r="F63" s="26" t="n">
        <f>2</f>
        <v>2.0</v>
      </c>
      <c r="G63" s="25" t="n">
        <v>1.2265234E9</v>
      </c>
      <c r="H63" s="26" t="n">
        <f>10402900</f>
        <v>1.04029E7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308000.0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320500.0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2.0</v>
      </c>
      <c r="F79" s="26" t="n">
        <f>0</f>
        <v>0.0</v>
      </c>
      <c r="G79" s="25" t="n">
        <v>628500.0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185.0</v>
      </c>
      <c r="F92" s="18" t="n">
        <f>0</f>
        <v>0.0</v>
      </c>
      <c r="G92" s="17" t="n">
        <v>2.847949E8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29.0</v>
      </c>
      <c r="F93" s="22" t="n">
        <f>0</f>
        <v>0.0</v>
      </c>
      <c r="G93" s="21" t="n">
        <v>4.47462E7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62.0</v>
      </c>
      <c r="F94" s="22" t="n">
        <f>0</f>
        <v>0.0</v>
      </c>
      <c r="G94" s="21" t="n">
        <v>9.55726E7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276.0</v>
      </c>
      <c r="F95" s="26" t="n">
        <f>0</f>
        <v>0.0</v>
      </c>
      <c r="G95" s="25" t="n">
        <v>4.251137E8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328.0</v>
      </c>
      <c r="F96" s="18" t="n">
        <f>0</f>
        <v>0.0</v>
      </c>
      <c r="G96" s="17" t="n">
        <v>7.568184E8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2.0</v>
      </c>
      <c r="F98" s="22" t="n">
        <f>0</f>
        <v>0.0</v>
      </c>
      <c r="G98" s="21" t="n">
        <v>4622000.0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330.0</v>
      </c>
      <c r="F99" s="26" t="n">
        <f>0</f>
        <v>0.0</v>
      </c>
      <c r="G99" s="25" t="n">
        <v>7.614404E8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11890.0</v>
      </c>
      <c r="F108" s="18" t="n">
        <f>337</f>
        <v>337.0</v>
      </c>
      <c r="G108" s="17" t="n">
        <v>1.48430296E12</v>
      </c>
      <c r="H108" s="18" t="n">
        <f>42086460000</f>
        <v>4.208646E10</v>
      </c>
    </row>
    <row r="109" spans="1:8" ht="24.9" customHeight="1">
      <c r="A109" s="51"/>
      <c r="B109" s="57"/>
      <c r="C109" s="39"/>
      <c r="D109" s="20" t="s">
        <v>16</v>
      </c>
      <c r="E109" s="21" t="n">
        <v>10678.0</v>
      </c>
      <c r="F109" s="22" t="n">
        <f>368</f>
        <v>368.0</v>
      </c>
      <c r="G109" s="21" t="n">
        <v>1.33436872E12</v>
      </c>
      <c r="H109" s="22" t="n">
        <f>45992590000</f>
        <v>4.599259E10</v>
      </c>
    </row>
    <row r="110" spans="1:8" ht="24.9" customHeight="1">
      <c r="A110" s="51"/>
      <c r="B110" s="57"/>
      <c r="C110" s="39"/>
      <c r="D110" s="20" t="s">
        <v>17</v>
      </c>
      <c r="E110" s="21" t="n">
        <v>13867.0</v>
      </c>
      <c r="F110" s="22" t="n">
        <f>1268</f>
        <v>1268.0</v>
      </c>
      <c r="G110" s="21" t="n">
        <v>1.735278085E12</v>
      </c>
      <c r="H110" s="22" t="n">
        <f>158651445000</f>
        <v>1.58651445E11</v>
      </c>
    </row>
    <row r="111" spans="1:8" ht="24.9" customHeight="1">
      <c r="A111" s="51"/>
      <c r="B111" s="57"/>
      <c r="C111" s="39"/>
      <c r="D111" s="24" t="s">
        <v>18</v>
      </c>
      <c r="E111" s="25" t="n">
        <v>36435.0</v>
      </c>
      <c r="F111" s="26" t="n">
        <f>1973</f>
        <v>1973.0</v>
      </c>
      <c r="G111" s="25" t="n">
        <v>4.553949765E12</v>
      </c>
      <c r="H111" s="26" t="n">
        <f>246730495000</f>
        <v>2.46730495E11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1810.0</v>
      </c>
      <c r="F113" s="22" t="n">
        <f>0</f>
        <v>0.0</v>
      </c>
      <c r="G113" s="21" t="n">
        <v>2.2616799E10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1776.0</v>
      </c>
      <c r="F114" s="22" t="n">
        <f>0</f>
        <v>0.0</v>
      </c>
      <c r="G114" s="21" t="n">
        <v>2.2224497E10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3586.0</v>
      </c>
      <c r="F115" s="26" t="n">
        <f>0</f>
        <v>0.0</v>
      </c>
      <c r="G115" s="25" t="n">
        <v>4.4841296E10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50.0</v>
      </c>
      <c r="F118" s="22" t="n">
        <f>0</f>
        <v>0.0</v>
      </c>
      <c r="G118" s="21" t="n">
        <v>4.4232E8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50.0</v>
      </c>
      <c r="F119" s="26" t="n">
        <f>0</f>
        <v>0.0</v>
      </c>
      <c r="G119" s="25" t="n">
        <v>4.4232E8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1532.0</v>
      </c>
      <c r="F120" s="18" t="n">
        <f>0</f>
        <v>0.0</v>
      </c>
      <c r="G120" s="17" t="n">
        <v>3.775253E10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1092.0</v>
      </c>
      <c r="F121" s="22" t="n">
        <f>0</f>
        <v>0.0</v>
      </c>
      <c r="G121" s="21" t="n">
        <v>2.686550375E10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3315.0</v>
      </c>
      <c r="F122" s="22" t="n">
        <f>0</f>
        <v>0.0</v>
      </c>
      <c r="G122" s="21" t="n">
        <v>8.1832188125E10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5939.0</v>
      </c>
      <c r="F123" s="26" t="n">
        <f>0</f>
        <v>0.0</v>
      </c>
      <c r="G123" s="25" t="n">
        <v>1.46450221875E11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4547.0</v>
      </c>
      <c r="F124" s="18" t="n">
        <f>0</f>
        <v>0.0</v>
      </c>
      <c r="G124" s="17" t="n">
        <v>9.9273484E10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1414.0</v>
      </c>
      <c r="F125" s="22" t="n">
        <f>3</f>
        <v>3.0</v>
      </c>
      <c r="G125" s="21" t="n">
        <v>3.0947201E10</v>
      </c>
      <c r="H125" s="22" t="n">
        <f>65490000</f>
        <v>6.549E7</v>
      </c>
    </row>
    <row r="126" spans="1:8" ht="24.9" customHeight="1">
      <c r="A126" s="51"/>
      <c r="B126" s="57"/>
      <c r="C126" s="39"/>
      <c r="D126" s="20" t="s">
        <v>17</v>
      </c>
      <c r="E126" s="21" t="n">
        <v>2539.0</v>
      </c>
      <c r="F126" s="22" t="n">
        <f>0</f>
        <v>0.0</v>
      </c>
      <c r="G126" s="21" t="n">
        <v>5.6056735E10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8500.0</v>
      </c>
      <c r="F127" s="26" t="n">
        <f>3</f>
        <v>3.0</v>
      </c>
      <c r="G127" s="25" t="n">
        <v>1.8627742E11</v>
      </c>
      <c r="H127" s="26" t="n">
        <f>65490000</f>
        <v>6.549E7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156.0</v>
      </c>
      <c r="F128" s="18" t="n">
        <f>0</f>
        <v>0.0</v>
      </c>
      <c r="G128" s="17" t="n">
        <v>3.351121E8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123.0</v>
      </c>
      <c r="F129" s="22" t="n">
        <f>0</f>
        <v>0.0</v>
      </c>
      <c r="G129" s="21" t="n">
        <v>2.656064E8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139.0</v>
      </c>
      <c r="F130" s="22" t="n">
        <f>0</f>
        <v>0.0</v>
      </c>
      <c r="G130" s="21" t="n">
        <v>3.02175E8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418.0</v>
      </c>
      <c r="F131" s="26" t="n">
        <f>0</f>
        <v>0.0</v>
      </c>
      <c r="G131" s="25" t="n">
        <v>9.028935E8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5902.0</v>
      </c>
      <c r="F132" s="18" t="n">
        <f>0</f>
        <v>0.0</v>
      </c>
      <c r="G132" s="17" t="n">
        <v>1.29184916E10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1325.0</v>
      </c>
      <c r="F133" s="22" t="n">
        <f>0</f>
        <v>0.0</v>
      </c>
      <c r="G133" s="21" t="n">
        <v>2.9055346E9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3134.0</v>
      </c>
      <c r="F134" s="22" t="n">
        <f>0</f>
        <v>0.0</v>
      </c>
      <c r="G134" s="21" t="n">
        <v>6.9350108E9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10361.0</v>
      </c>
      <c r="F135" s="26" t="n">
        <f>0</f>
        <v>0.0</v>
      </c>
      <c r="G135" s="25" t="n">
        <v>2.2759037E10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19.0</v>
      </c>
      <c r="F136" s="18" t="n">
        <f>0</f>
        <v>0.0</v>
      </c>
      <c r="G136" s="17" t="n">
        <v>4.05708E7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2.0</v>
      </c>
      <c r="F137" s="22" t="n">
        <f>0</f>
        <v>0.0</v>
      </c>
      <c r="G137" s="21" t="n">
        <v>4278600.0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14.0</v>
      </c>
      <c r="F138" s="22" t="n">
        <f>0</f>
        <v>0.0</v>
      </c>
      <c r="G138" s="21" t="n">
        <v>3.02393E7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35.0</v>
      </c>
      <c r="F139" s="26" t="n">
        <f>0</f>
        <v>0.0</v>
      </c>
      <c r="G139" s="25" t="n">
        <v>7.50887E7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1.0</v>
      </c>
      <c r="F142" s="22" t="n">
        <f>0</f>
        <v>0.0</v>
      </c>
      <c r="G142" s="21" t="n">
        <v>9750000.0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9750000.0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732.0</v>
      </c>
      <c r="F144" s="18" t="n">
        <f>0</f>
        <v>0.0</v>
      </c>
      <c r="G144" s="17" t="n">
        <v>3.144284E9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701.0</v>
      </c>
      <c r="F145" s="22" t="n">
        <f>0</f>
        <v>0.0</v>
      </c>
      <c r="G145" s="21" t="n">
        <v>3.0441105E9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827.0</v>
      </c>
      <c r="F146" s="22" t="n">
        <f>0</f>
        <v>0.0</v>
      </c>
      <c r="G146" s="21" t="n">
        <v>3.613657E9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2260.0</v>
      </c>
      <c r="F147" s="26" t="n">
        <f>0</f>
        <v>0.0</v>
      </c>
      <c r="G147" s="25" t="n">
        <v>9.8020515E9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43.0</v>
      </c>
      <c r="F148" s="18" t="n">
        <f>0</f>
        <v>0.0</v>
      </c>
      <c r="G148" s="17" t="n">
        <v>3.76638E7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220.0</v>
      </c>
      <c r="F149" s="22" t="n">
        <f>0</f>
        <v>0.0</v>
      </c>
      <c r="G149" s="21" t="n">
        <v>1.957787E8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71.0</v>
      </c>
      <c r="F150" s="22" t="n">
        <f>0</f>
        <v>0.0</v>
      </c>
      <c r="G150" s="21" t="n">
        <v>6.36593E7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334.0</v>
      </c>
      <c r="F151" s="26" t="n">
        <f>0</f>
        <v>0.0</v>
      </c>
      <c r="G151" s="25" t="n">
        <v>2.971018E8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384.0</v>
      </c>
      <c r="F152" s="18" t="n">
        <f>0</f>
        <v>0.0</v>
      </c>
      <c r="G152" s="17" t="n">
        <v>3.2971335E8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232.0</v>
      </c>
      <c r="F153" s="22" t="n">
        <f>0</f>
        <v>0.0</v>
      </c>
      <c r="G153" s="21" t="n">
        <v>2.013389E8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480.0</v>
      </c>
      <c r="F154" s="22" t="n">
        <f>0</f>
        <v>0.0</v>
      </c>
      <c r="G154" s="21" t="n">
        <v>4.198587E8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1096.0</v>
      </c>
      <c r="F155" s="26" t="n">
        <f>0</f>
        <v>0.0</v>
      </c>
      <c r="G155" s="25" t="n">
        <v>9.5091095E8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125.0</v>
      </c>
      <c r="F156" s="18" t="n">
        <f>0</f>
        <v>0.0</v>
      </c>
      <c r="G156" s="17" t="n">
        <v>1.071585E8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85.0</v>
      </c>
      <c r="F157" s="22" t="n">
        <f>0</f>
        <v>0.0</v>
      </c>
      <c r="G157" s="21" t="n">
        <v>7.40858E7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347.0</v>
      </c>
      <c r="F158" s="22" t="n">
        <f>0</f>
        <v>0.0</v>
      </c>
      <c r="G158" s="21" t="n">
        <v>3.046818E8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557.0</v>
      </c>
      <c r="F159" s="26" t="n">
        <f>0</f>
        <v>0.0</v>
      </c>
      <c r="G159" s="25" t="n">
        <v>4.859261E8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32.0</v>
      </c>
      <c r="F168" s="18" t="n">
        <f>0</f>
        <v>0.0</v>
      </c>
      <c r="G168" s="17" t="n">
        <v>6.924E7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519.0</v>
      </c>
      <c r="F169" s="22" t="n">
        <f>2</f>
        <v>2.0</v>
      </c>
      <c r="G169" s="21" t="n">
        <v>1.0984625E9</v>
      </c>
      <c r="H169" s="22" t="n">
        <f>4255000</f>
        <v>4255000.0</v>
      </c>
    </row>
    <row r="170" spans="1:8" ht="24.9" customHeight="1">
      <c r="A170" s="51"/>
      <c r="B170" s="57"/>
      <c r="C170" s="39"/>
      <c r="D170" s="20" t="s">
        <v>17</v>
      </c>
      <c r="E170" s="21" t="n">
        <v>111.0</v>
      </c>
      <c r="F170" s="22" t="n">
        <f>20</f>
        <v>20.0</v>
      </c>
      <c r="G170" s="21" t="n">
        <v>2.441725E8</v>
      </c>
      <c r="H170" s="22" t="n">
        <f>50250000</f>
        <v>5.025E7</v>
      </c>
    </row>
    <row r="171" spans="1:8" ht="24.9" customHeight="1">
      <c r="A171" s="51"/>
      <c r="B171" s="57"/>
      <c r="C171" s="39"/>
      <c r="D171" s="24" t="s">
        <v>18</v>
      </c>
      <c r="E171" s="25" t="n">
        <v>662.0</v>
      </c>
      <c r="F171" s="26" t="n">
        <f>22</f>
        <v>22.0</v>
      </c>
      <c r="G171" s="25" t="n">
        <v>1.411875E9</v>
      </c>
      <c r="H171" s="26" t="n">
        <f>54505000</f>
        <v>5.4505E7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1.0</v>
      </c>
      <c r="F178" s="22" t="n">
        <f>0</f>
        <v>0.0</v>
      </c>
      <c r="G178" s="21" t="n">
        <v>1892000.0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1.0</v>
      </c>
      <c r="F179" s="26" t="n">
        <f>0</f>
        <v>0.0</v>
      </c>
      <c r="G179" s="25" t="n">
        <v>1892000.0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851.0</v>
      </c>
      <c r="F204" s="18" t="n">
        <f>0</f>
        <v>0.0</v>
      </c>
      <c r="G204" s="17" t="n">
        <v>3.6604065E9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212.0</v>
      </c>
      <c r="F205" s="22" t="n">
        <f>0</f>
        <v>0.0</v>
      </c>
      <c r="G205" s="21" t="n">
        <v>9.047155E8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1350.0</v>
      </c>
      <c r="F206" s="22" t="n">
        <f>4</f>
        <v>4.0</v>
      </c>
      <c r="G206" s="21" t="n">
        <v>5.824562E9</v>
      </c>
      <c r="H206" s="22" t="n">
        <f>16920000</f>
        <v>1.692E7</v>
      </c>
    </row>
    <row r="207" spans="1:8" ht="24.9" customHeight="1">
      <c r="A207" s="57"/>
      <c r="B207" s="59"/>
      <c r="C207" s="39"/>
      <c r="D207" s="24" t="s">
        <v>18</v>
      </c>
      <c r="E207" s="25" t="n">
        <v>2413.0</v>
      </c>
      <c r="F207" s="26" t="n">
        <f>4</f>
        <v>4.0</v>
      </c>
      <c r="G207" s="25" t="n">
        <v>1.0389684E10</v>
      </c>
      <c r="H207" s="26" t="n">
        <f>16920000</f>
        <v>1.692E7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200.0</v>
      </c>
      <c r="F210" s="22" t="n">
        <f>200</f>
        <v>200.0</v>
      </c>
      <c r="G210" s="21" t="n">
        <v>3.964032E8</v>
      </c>
      <c r="H210" s="22" t="n">
        <f>396403200</f>
        <v>3.964032E8</v>
      </c>
    </row>
    <row r="211" spans="1:8" ht="24.9" customHeight="1">
      <c r="A211" s="57"/>
      <c r="B211" s="59"/>
      <c r="C211" s="39"/>
      <c r="D211" s="24" t="s">
        <v>18</v>
      </c>
      <c r="E211" s="25" t="n">
        <v>200.0</v>
      </c>
      <c r="F211" s="26" t="n">
        <f>200</f>
        <v>200.0</v>
      </c>
      <c r="G211" s="25" t="n">
        <v>3.964032E8</v>
      </c>
      <c r="H211" s="26" t="n">
        <f>396403200</f>
        <v>3.964032E8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46281.0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46281.0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1450</f>
        <v>1450.0</v>
      </c>
      <c r="E12" s="35" t="n">
        <f>302</f>
        <v>302.0</v>
      </c>
      <c r="F12" s="17" t="n">
        <f>1257</f>
        <v>1257.0</v>
      </c>
      <c r="G12" s="35" t="n">
        <f>587</f>
        <v>587.0</v>
      </c>
      <c r="H12" s="17" t="n">
        <f>2707</f>
        <v>2707.0</v>
      </c>
      <c r="I12" s="35" t="n">
        <f>889</f>
        <v>889.0</v>
      </c>
      <c r="J12" s="17" t="n">
        <f>826635830</f>
        <v>8.2663583E8</v>
      </c>
      <c r="K12" s="35" t="n">
        <f>344550830</f>
        <v>3.4455083E8</v>
      </c>
      <c r="L12" s="17" t="n">
        <f>350091250</f>
        <v>3.5009125E8</v>
      </c>
      <c r="M12" s="35" t="n">
        <f>199935250</f>
        <v>1.9993525E8</v>
      </c>
      <c r="N12" s="17" t="n">
        <f>1176727080</f>
        <v>1.17672708E9</v>
      </c>
      <c r="O12" s="35" t="n">
        <f>544486080</f>
        <v>5.4448608E8</v>
      </c>
    </row>
    <row r="13" spans="1:15" ht="24.9" customHeight="1">
      <c r="A13" s="38"/>
      <c r="B13" s="62"/>
      <c r="C13" s="20" t="s">
        <v>16</v>
      </c>
      <c r="D13" s="21" t="n">
        <f>1517</f>
        <v>1517.0</v>
      </c>
      <c r="E13" s="36" t="n">
        <f>509</f>
        <v>509.0</v>
      </c>
      <c r="F13" s="21" t="n">
        <f>1879</f>
        <v>1879.0</v>
      </c>
      <c r="G13" s="36" t="n">
        <f>904</f>
        <v>904.0</v>
      </c>
      <c r="H13" s="21" t="n">
        <f>3396</f>
        <v>3396.0</v>
      </c>
      <c r="I13" s="36" t="n">
        <f>1413</f>
        <v>1413.0</v>
      </c>
      <c r="J13" s="21" t="n">
        <f>735976980</f>
        <v>7.3597698E8</v>
      </c>
      <c r="K13" s="36" t="n">
        <f>337925980</f>
        <v>3.3792598E8</v>
      </c>
      <c r="L13" s="21" t="n">
        <f>1432509840</f>
        <v>1.43250984E9</v>
      </c>
      <c r="M13" s="36" t="n">
        <f>1144005840</f>
        <v>1.14400584E9</v>
      </c>
      <c r="N13" s="21" t="n">
        <f>2168486820</f>
        <v>2.16848682E9</v>
      </c>
      <c r="O13" s="36" t="n">
        <f>1481931820</f>
        <v>1.48193182E9</v>
      </c>
    </row>
    <row r="14" spans="1:15" ht="24.9" customHeight="1">
      <c r="A14" s="38"/>
      <c r="B14" s="62"/>
      <c r="C14" s="20" t="s">
        <v>17</v>
      </c>
      <c r="D14" s="21" t="n">
        <f>11005</f>
        <v>11005.0</v>
      </c>
      <c r="E14" s="36" t="n">
        <f>7985</f>
        <v>7985.0</v>
      </c>
      <c r="F14" s="21" t="n">
        <f>12650</f>
        <v>12650.0</v>
      </c>
      <c r="G14" s="36" t="n">
        <f>10920</f>
        <v>10920.0</v>
      </c>
      <c r="H14" s="21" t="n">
        <f>23655</f>
        <v>23655.0</v>
      </c>
      <c r="I14" s="36" t="n">
        <f>18905</f>
        <v>18905.0</v>
      </c>
      <c r="J14" s="21" t="n">
        <f>11293714266</f>
        <v>1.1293714266E10</v>
      </c>
      <c r="K14" s="36" t="n">
        <f>10306374266</f>
        <v>1.0306374266E10</v>
      </c>
      <c r="L14" s="21" t="n">
        <f>12917541232</f>
        <v>1.2917541232E10</v>
      </c>
      <c r="M14" s="36" t="n">
        <f>12410069232</f>
        <v>1.2410069232E10</v>
      </c>
      <c r="N14" s="21" t="n">
        <f>24211255498</f>
        <v>2.4211255498E10</v>
      </c>
      <c r="O14" s="36" t="n">
        <f>22716443498</f>
        <v>2.2716443498E10</v>
      </c>
    </row>
    <row r="15" spans="1:15" ht="24.9" customHeight="1">
      <c r="A15" s="38"/>
      <c r="B15" s="62"/>
      <c r="C15" s="24" t="s">
        <v>18</v>
      </c>
      <c r="D15" s="25" t="n">
        <f>13972</f>
        <v>13972.0</v>
      </c>
      <c r="E15" s="37" t="n">
        <f>8796</f>
        <v>8796.0</v>
      </c>
      <c r="F15" s="25" t="n">
        <f>15786</f>
        <v>15786.0</v>
      </c>
      <c r="G15" s="37" t="n">
        <f>12411</f>
        <v>12411.0</v>
      </c>
      <c r="H15" s="25" t="n">
        <f>29758</f>
        <v>29758.0</v>
      </c>
      <c r="I15" s="37" t="n">
        <f>21207</f>
        <v>21207.0</v>
      </c>
      <c r="J15" s="25" t="n">
        <f>12856327076</f>
        <v>1.2856327076E10</v>
      </c>
      <c r="K15" s="37" t="n">
        <f>10988851076</f>
        <v>1.0988851076E10</v>
      </c>
      <c r="L15" s="25" t="n">
        <f>14700142322</f>
        <v>1.4700142322E10</v>
      </c>
      <c r="M15" s="37" t="n">
        <f>13754010322</f>
        <v>1.3754010322E10</v>
      </c>
      <c r="N15" s="25" t="n">
        <f>27556469398</f>
        <v>2.7556469398E10</v>
      </c>
      <c r="O15" s="37" t="n">
        <f>24742861398</f>
        <v>2.4742861398E10</v>
      </c>
    </row>
    <row r="16" spans="1:15" ht="24.9" customHeight="1">
      <c r="A16" s="38"/>
      <c r="B16" s="61" t="s">
        <v>105</v>
      </c>
      <c r="C16" s="16" t="s">
        <v>15</v>
      </c>
      <c r="D16" s="17" t="n">
        <f>5365</f>
        <v>5365.0</v>
      </c>
      <c r="E16" s="35" t="n">
        <f>500</f>
        <v>500.0</v>
      </c>
      <c r="F16" s="17" t="n">
        <f>6114</f>
        <v>6114.0</v>
      </c>
      <c r="G16" s="35" t="n">
        <f>660</f>
        <v>660.0</v>
      </c>
      <c r="H16" s="17" t="n">
        <f>11479</f>
        <v>11479.0</v>
      </c>
      <c r="I16" s="35" t="n">
        <f>1160</f>
        <v>1160.0</v>
      </c>
      <c r="J16" s="17" t="n">
        <f>183245700</f>
        <v>1.832457E8</v>
      </c>
      <c r="K16" s="35" t="n">
        <f>7652700</f>
        <v>7652700.0</v>
      </c>
      <c r="L16" s="17" t="n">
        <f>253644670</f>
        <v>2.5364467E8</v>
      </c>
      <c r="M16" s="35" t="n">
        <f>2804270</f>
        <v>2804270.0</v>
      </c>
      <c r="N16" s="17" t="n">
        <f>436890370</f>
        <v>4.3689037E8</v>
      </c>
      <c r="O16" s="35" t="n">
        <f>10456970</f>
        <v>1.045697E7</v>
      </c>
    </row>
    <row r="17" spans="1:15" ht="24.9" customHeight="1">
      <c r="A17" s="38"/>
      <c r="B17" s="62"/>
      <c r="C17" s="20" t="s">
        <v>16</v>
      </c>
      <c r="D17" s="21" t="n">
        <f>2746</f>
        <v>2746.0</v>
      </c>
      <c r="E17" s="36" t="n">
        <f>140</f>
        <v>140.0</v>
      </c>
      <c r="F17" s="21" t="n">
        <f>4413</f>
        <v>4413.0</v>
      </c>
      <c r="G17" s="36" t="n">
        <f>160</f>
        <v>160.0</v>
      </c>
      <c r="H17" s="21" t="n">
        <f>7159</f>
        <v>7159.0</v>
      </c>
      <c r="I17" s="36" t="n">
        <f>300</f>
        <v>300.0</v>
      </c>
      <c r="J17" s="21" t="n">
        <f>70325360</f>
        <v>7.032536E7</v>
      </c>
      <c r="K17" s="36" t="n">
        <f>1023960</f>
        <v>1023960.0</v>
      </c>
      <c r="L17" s="21" t="n">
        <f>68906990</f>
        <v>6.890699E7</v>
      </c>
      <c r="M17" s="36" t="n">
        <f>1233590</f>
        <v>1233590.0</v>
      </c>
      <c r="N17" s="21" t="n">
        <f>139232350</f>
        <v>1.3923235E8</v>
      </c>
      <c r="O17" s="36" t="n">
        <f>2257550</f>
        <v>2257550.0</v>
      </c>
    </row>
    <row r="18" spans="1:15" ht="24.9" customHeight="1">
      <c r="A18" s="38"/>
      <c r="B18" s="62"/>
      <c r="C18" s="20" t="s">
        <v>17</v>
      </c>
      <c r="D18" s="21" t="n">
        <f>7892</f>
        <v>7892.0</v>
      </c>
      <c r="E18" s="36" t="n">
        <f>750</f>
        <v>750.0</v>
      </c>
      <c r="F18" s="21" t="n">
        <f>8005</f>
        <v>8005.0</v>
      </c>
      <c r="G18" s="36" t="n">
        <f>200</f>
        <v>200.0</v>
      </c>
      <c r="H18" s="21" t="n">
        <f>15897</f>
        <v>15897.0</v>
      </c>
      <c r="I18" s="36" t="n">
        <f>950</f>
        <v>950.0</v>
      </c>
      <c r="J18" s="21" t="n">
        <f>205452080</f>
        <v>2.0545208E8</v>
      </c>
      <c r="K18" s="36" t="n">
        <f>9304080</f>
        <v>9304080.0</v>
      </c>
      <c r="L18" s="21" t="n">
        <f>141634940</f>
        <v>1.4163494E8</v>
      </c>
      <c r="M18" s="36" t="n">
        <f>1088040</f>
        <v>1088040.0</v>
      </c>
      <c r="N18" s="21" t="n">
        <f>347087020</f>
        <v>3.4708702E8</v>
      </c>
      <c r="O18" s="36" t="n">
        <f>10392120</f>
        <v>1.039212E7</v>
      </c>
    </row>
    <row r="19" spans="1:15" ht="24.9" customHeight="1">
      <c r="A19" s="38"/>
      <c r="B19" s="62"/>
      <c r="C19" s="24" t="s">
        <v>18</v>
      </c>
      <c r="D19" s="25" t="n">
        <f>16003</f>
        <v>16003.0</v>
      </c>
      <c r="E19" s="37" t="n">
        <f>1390</f>
        <v>1390.0</v>
      </c>
      <c r="F19" s="25" t="n">
        <f>18532</f>
        <v>18532.0</v>
      </c>
      <c r="G19" s="37" t="n">
        <f>1020</f>
        <v>1020.0</v>
      </c>
      <c r="H19" s="25" t="n">
        <f>34535</f>
        <v>34535.0</v>
      </c>
      <c r="I19" s="37" t="n">
        <f>2410</f>
        <v>2410.0</v>
      </c>
      <c r="J19" s="25" t="n">
        <f>459023140</f>
        <v>4.5902314E8</v>
      </c>
      <c r="K19" s="37" t="n">
        <f>17980740</f>
        <v>1.798074E7</v>
      </c>
      <c r="L19" s="25" t="n">
        <f>464186600</f>
        <v>4.641866E8</v>
      </c>
      <c r="M19" s="37" t="n">
        <f>5125900</f>
        <v>5125900.0</v>
      </c>
      <c r="N19" s="25" t="n">
        <f>923209740</f>
        <v>9.2320974E8</v>
      </c>
      <c r="O19" s="37" t="n">
        <f>23106640</f>
        <v>2.310664E7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200</f>
        <v>200.0</v>
      </c>
      <c r="G21" s="36" t="n">
        <f>200</f>
        <v>200.0</v>
      </c>
      <c r="H21" s="21" t="n">
        <f>200</f>
        <v>200.0</v>
      </c>
      <c r="I21" s="36" t="n">
        <f>200</f>
        <v>200.0</v>
      </c>
      <c r="J21" s="21" t="n">
        <f>0</f>
        <v>0.0</v>
      </c>
      <c r="K21" s="36" t="n">
        <f>0</f>
        <v>0.0</v>
      </c>
      <c r="L21" s="21" t="n">
        <f>393800000</f>
        <v>3.938E8</v>
      </c>
      <c r="M21" s="36" t="n">
        <f>393800000</f>
        <v>3.938E8</v>
      </c>
      <c r="N21" s="21" t="n">
        <f>393800000</f>
        <v>3.938E8</v>
      </c>
      <c r="O21" s="36" t="n">
        <f>393800000</f>
        <v>3.938E8</v>
      </c>
    </row>
    <row r="22" spans="1:15" ht="24.9" customHeight="1">
      <c r="A22" s="38"/>
      <c r="B22" s="62"/>
      <c r="C22" s="20" t="s">
        <v>17</v>
      </c>
      <c r="D22" s="21" t="n">
        <f>470</f>
        <v>470.0</v>
      </c>
      <c r="E22" s="36" t="n">
        <f>470</f>
        <v>470.0</v>
      </c>
      <c r="F22" s="21" t="n">
        <f>1774</f>
        <v>1774.0</v>
      </c>
      <c r="G22" s="36" t="n">
        <f>1774</f>
        <v>1774.0</v>
      </c>
      <c r="H22" s="21" t="n">
        <f>2244</f>
        <v>2244.0</v>
      </c>
      <c r="I22" s="36" t="n">
        <f>2244</f>
        <v>2244.0</v>
      </c>
      <c r="J22" s="21" t="n">
        <f>816493000</f>
        <v>8.16493E8</v>
      </c>
      <c r="K22" s="36" t="n">
        <f>816493000</f>
        <v>8.16493E8</v>
      </c>
      <c r="L22" s="21" t="n">
        <f>5682232744</f>
        <v>5.682232744E9</v>
      </c>
      <c r="M22" s="36" t="n">
        <f>5682232744</f>
        <v>5.682232744E9</v>
      </c>
      <c r="N22" s="21" t="n">
        <f>6498725744</f>
        <v>6.498725744E9</v>
      </c>
      <c r="O22" s="36" t="n">
        <f>6498725744</f>
        <v>6.498725744E9</v>
      </c>
    </row>
    <row r="23" spans="1:15" ht="24.9" customHeight="1">
      <c r="A23" s="38"/>
      <c r="B23" s="62"/>
      <c r="C23" s="24" t="s">
        <v>18</v>
      </c>
      <c r="D23" s="25" t="n">
        <f>470</f>
        <v>470.0</v>
      </c>
      <c r="E23" s="37" t="n">
        <f>470</f>
        <v>470.0</v>
      </c>
      <c r="F23" s="25" t="n">
        <f>1974</f>
        <v>1974.0</v>
      </c>
      <c r="G23" s="37" t="n">
        <f>1974</f>
        <v>1974.0</v>
      </c>
      <c r="H23" s="25" t="n">
        <f>2444</f>
        <v>2444.0</v>
      </c>
      <c r="I23" s="37" t="n">
        <f>2444</f>
        <v>2444.0</v>
      </c>
      <c r="J23" s="25" t="n">
        <f>816493000</f>
        <v>8.16493E8</v>
      </c>
      <c r="K23" s="37" t="n">
        <f>816493000</f>
        <v>8.16493E8</v>
      </c>
      <c r="L23" s="25" t="n">
        <f>6076032744</f>
        <v>6.076032744E9</v>
      </c>
      <c r="M23" s="37" t="n">
        <f>6076032744</f>
        <v>6.076032744E9</v>
      </c>
      <c r="N23" s="25" t="n">
        <f>6892525744</f>
        <v>6.892525744E9</v>
      </c>
      <c r="O23" s="37" t="n">
        <f>6892525744</f>
        <v>6.892525744E9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</f>
        <v>5.0</v>
      </c>
      <c r="E37" s="22" t="n">
        <f>0</f>
        <v>0.0</v>
      </c>
      <c r="F37" s="21" t="n">
        <f>53</f>
        <v>53.0</v>
      </c>
      <c r="G37" s="22" t="n">
        <f>0</f>
        <v>0.0</v>
      </c>
      <c r="H37" s="21" t="n">
        <f>58</f>
        <v>58.0</v>
      </c>
      <c r="I37" s="22" t="n">
        <f>0</f>
        <v>0.0</v>
      </c>
      <c r="J37" s="21" t="n">
        <f>800000</f>
        <v>800000.0</v>
      </c>
      <c r="K37" s="22" t="n">
        <f>0</f>
        <v>0.0</v>
      </c>
      <c r="L37" s="21" t="n">
        <f>11120000</f>
        <v>1.112E7</v>
      </c>
      <c r="M37" s="22" t="n">
        <f>0</f>
        <v>0.0</v>
      </c>
      <c r="N37" s="21" t="n">
        <f>11920000</f>
        <v>1.192E7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24</f>
        <v>24.0</v>
      </c>
      <c r="E38" s="36" t="n">
        <f>0</f>
        <v>0.0</v>
      </c>
      <c r="F38" s="21" t="n">
        <f>231</f>
        <v>231.0</v>
      </c>
      <c r="G38" s="36" t="n">
        <f>0</f>
        <v>0.0</v>
      </c>
      <c r="H38" s="21" t="n">
        <f>255</f>
        <v>255.0</v>
      </c>
      <c r="I38" s="36" t="n">
        <f>0</f>
        <v>0.0</v>
      </c>
      <c r="J38" s="21" t="n">
        <f>2620000</f>
        <v>2620000.0</v>
      </c>
      <c r="K38" s="36" t="n">
        <f>0</f>
        <v>0.0</v>
      </c>
      <c r="L38" s="21" t="n">
        <f>9920000</f>
        <v>9920000.0</v>
      </c>
      <c r="M38" s="36" t="n">
        <f>0</f>
        <v>0.0</v>
      </c>
      <c r="N38" s="21" t="n">
        <f>12540000</f>
        <v>1.254E7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29</f>
        <v>29.0</v>
      </c>
      <c r="E39" s="37" t="n">
        <f>0</f>
        <v>0.0</v>
      </c>
      <c r="F39" s="25" t="n">
        <f>284</f>
        <v>284.0</v>
      </c>
      <c r="G39" s="37" t="n">
        <f>0</f>
        <v>0.0</v>
      </c>
      <c r="H39" s="25" t="n">
        <f>313</f>
        <v>313.0</v>
      </c>
      <c r="I39" s="37" t="n">
        <f>0</f>
        <v>0.0</v>
      </c>
      <c r="J39" s="25" t="n">
        <f>3420000</f>
        <v>3420000.0</v>
      </c>
      <c r="K39" s="37" t="n">
        <f>0</f>
        <v>0.0</v>
      </c>
      <c r="L39" s="25" t="n">
        <f>21040000</f>
        <v>2.104E7</v>
      </c>
      <c r="M39" s="37" t="n">
        <f>0</f>
        <v>0.0</v>
      </c>
      <c r="N39" s="25" t="n">
        <f>24460000</f>
        <v>2.446E7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1494</f>
        <v>1494.0</v>
      </c>
      <c r="E41" s="36" t="n">
        <f>0</f>
        <v>0.0</v>
      </c>
      <c r="F41" s="21" t="n">
        <f>7124</f>
        <v>7124.0</v>
      </c>
      <c r="G41" s="36" t="n">
        <f>0</f>
        <v>0.0</v>
      </c>
      <c r="H41" s="21" t="n">
        <f>8618</f>
        <v>8618.0</v>
      </c>
      <c r="I41" s="36" t="n">
        <f>0</f>
        <v>0.0</v>
      </c>
      <c r="J41" s="21" t="n">
        <f>22895246</f>
        <v>2.2895246E7</v>
      </c>
      <c r="K41" s="36" t="n">
        <f>0</f>
        <v>0.0</v>
      </c>
      <c r="L41" s="21" t="n">
        <f>4948655</f>
        <v>4948655.0</v>
      </c>
      <c r="M41" s="36" t="n">
        <f>0</f>
        <v>0.0</v>
      </c>
      <c r="N41" s="21" t="n">
        <f>27843901</f>
        <v>2.7843901E7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844</f>
        <v>844.0</v>
      </c>
      <c r="E42" s="36" t="n">
        <f>0</f>
        <v>0.0</v>
      </c>
      <c r="F42" s="21" t="n">
        <f>4593</f>
        <v>4593.0</v>
      </c>
      <c r="G42" s="36" t="n">
        <f>93</f>
        <v>93.0</v>
      </c>
      <c r="H42" s="21" t="n">
        <f>5437</f>
        <v>5437.0</v>
      </c>
      <c r="I42" s="36" t="n">
        <f>93</f>
        <v>93.0</v>
      </c>
      <c r="J42" s="21" t="n">
        <f>10296590</f>
        <v>1.029659E7</v>
      </c>
      <c r="K42" s="36" t="n">
        <f>0</f>
        <v>0.0</v>
      </c>
      <c r="L42" s="21" t="n">
        <f>17976128</f>
        <v>1.7976128E7</v>
      </c>
      <c r="M42" s="36" t="n">
        <f>13475700</f>
        <v>1.34757E7</v>
      </c>
      <c r="N42" s="21" t="n">
        <f>28272718</f>
        <v>2.8272718E7</v>
      </c>
      <c r="O42" s="36" t="n">
        <f>13475700</f>
        <v>1.34757E7</v>
      </c>
    </row>
    <row r="43" spans="1:15" ht="24.9" customHeight="1">
      <c r="A43" s="38"/>
      <c r="B43" s="62"/>
      <c r="C43" s="24" t="s">
        <v>18</v>
      </c>
      <c r="D43" s="25" t="n">
        <f>2338</f>
        <v>2338.0</v>
      </c>
      <c r="E43" s="37" t="n">
        <f>0</f>
        <v>0.0</v>
      </c>
      <c r="F43" s="25" t="n">
        <f>11717</f>
        <v>11717.0</v>
      </c>
      <c r="G43" s="37" t="n">
        <f>93</f>
        <v>93.0</v>
      </c>
      <c r="H43" s="25" t="n">
        <f>14055</f>
        <v>14055.0</v>
      </c>
      <c r="I43" s="37" t="n">
        <f>93</f>
        <v>93.0</v>
      </c>
      <c r="J43" s="25" t="n">
        <f>33191836</f>
        <v>3.3191836E7</v>
      </c>
      <c r="K43" s="37" t="n">
        <f>0</f>
        <v>0.0</v>
      </c>
      <c r="L43" s="25" t="n">
        <f>22924783</f>
        <v>2.2924783E7</v>
      </c>
      <c r="M43" s="37" t="n">
        <f>13475700</f>
        <v>1.34757E7</v>
      </c>
      <c r="N43" s="25" t="n">
        <f>56116619</f>
        <v>5.6116619E7</v>
      </c>
      <c r="O43" s="37" t="n">
        <f>13475700</f>
        <v>1.34757E7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