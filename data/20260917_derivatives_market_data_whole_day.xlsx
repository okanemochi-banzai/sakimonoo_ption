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<sst xmlns="http://schemas.openxmlformats.org/spreadsheetml/2006/main" count="528" uniqueCount="129">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</sst>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DATE(2026,09,17)</f>
        <v>46282.0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DATE(2026,09,17)</f>
        <v>46282.0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835002.0</f>
        <v>835002.0</v>
      </c>
      <c r="E12" s="18" t="n">
        <f>43583.0</f>
        <v>43583.0</v>
      </c>
      <c r="F12" s="19" t="n">
        <f>1.0</f>
        <v>1.0</v>
      </c>
      <c r="G12" s="17" t="n">
        <f>5789476063369.0</f>
        <v>5.789476063369E12</v>
      </c>
      <c r="H12" s="18" t="n">
        <f>427162303244.0</f>
        <v>4.27162303244E11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413469.0</f>
        <v>413469.0</v>
      </c>
      <c r="E13" s="22" t="n">
        <f>19154.0</f>
        <v>19154.0</v>
      </c>
      <c r="F13" s="23" t="n">
        <f>1.0</f>
        <v>1.0</v>
      </c>
      <c r="G13" s="21" t="n">
        <f>3623713066550.0</f>
        <v>3.62371306655E12</v>
      </c>
      <c r="H13" s="22" t="n">
        <f>199347480200.0</f>
        <v>1.993474802E11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404989.0</f>
        <v>404989.0</v>
      </c>
      <c r="E14" s="22" t="n">
        <f>29003.0</f>
        <v>29003.0</v>
      </c>
      <c r="F14" s="23" t="n">
        <f>1.0</f>
        <v>1.0</v>
      </c>
      <c r="G14" s="21" t="n">
        <f>4626701941516.0</f>
        <v>4.626701941516E12</v>
      </c>
      <c r="H14" s="22" t="n">
        <f>727801462691.0</f>
        <v>7.27801462691E11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1653460.0</f>
        <v>1653460.0</v>
      </c>
      <c r="E15" s="26" t="n">
        <f>91740.0</f>
        <v>91740.0</v>
      </c>
      <c r="F15" s="27" t="n">
        <f>1.0</f>
        <v>1.0</v>
      </c>
      <c r="G15" s="25" t="n">
        <f>14039891071435.0</f>
        <v>1.4039891071435E13</v>
      </c>
      <c r="H15" s="26" t="n">
        <f>1354311246135.0</f>
        <v>1.354311246135E12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17001.0</f>
        <v>17001.0</v>
      </c>
      <c r="E16" s="18" t="n">
        <f>306.0</f>
        <v>306.0</v>
      </c>
      <c r="F16" s="19" t="n">
        <f>0.02</f>
        <v>0.02</v>
      </c>
      <c r="G16" s="17" t="n">
        <f>1744429979375.0</f>
        <v>1.744429979375E12</v>
      </c>
      <c r="H16" s="18" t="n">
        <f>38293070000.0</f>
        <v>3.829307E10</v>
      </c>
      <c r="I16" s="19" t="n">
        <f>0.301</f>
        <v>0.301</v>
      </c>
    </row>
    <row r="17" spans="1:9" ht="24.9" customHeight="1">
      <c r="A17" s="41"/>
      <c r="B17" s="39"/>
      <c r="C17" s="20" t="s">
        <v>16</v>
      </c>
      <c r="D17" s="21" t="n">
        <f>11295.0</f>
        <v>11295.0</v>
      </c>
      <c r="E17" s="22" t="n">
        <f>277.0</f>
        <v>277.0</v>
      </c>
      <c r="F17" s="23" t="n">
        <f>0.027</f>
        <v>0.027</v>
      </c>
      <c r="G17" s="21" t="n">
        <f>1176611304000.0</f>
        <v>1.176611304E12</v>
      </c>
      <c r="H17" s="22" t="n">
        <f>34658505000.0</f>
        <v>3.4658505E10</v>
      </c>
      <c r="I17" s="23" t="n">
        <f>0.325</f>
        <v>0.325</v>
      </c>
    </row>
    <row r="18" spans="1:9" ht="24.9" customHeight="1">
      <c r="A18" s="41"/>
      <c r="B18" s="39"/>
      <c r="C18" s="20" t="s">
        <v>17</v>
      </c>
      <c r="D18" s="21" t="n">
        <f>21431.0</f>
        <v>21431.0</v>
      </c>
      <c r="E18" s="22" t="n">
        <f>735.0</f>
        <v>735.0</v>
      </c>
      <c r="F18" s="23" t="n">
        <f>0.053</f>
        <v>0.053</v>
      </c>
      <c r="G18" s="21" t="n">
        <f>1505652707625.0</f>
        <v>1.505652707625E12</v>
      </c>
      <c r="H18" s="22" t="n">
        <f>91941575000.0</f>
        <v>9.1941575E10</v>
      </c>
      <c r="I18" s="23" t="n">
        <f>0.325</f>
        <v>0.325</v>
      </c>
    </row>
    <row r="19" spans="1:9" ht="24.9" customHeight="1">
      <c r="A19" s="41"/>
      <c r="B19" s="39"/>
      <c r="C19" s="24" t="s">
        <v>18</v>
      </c>
      <c r="D19" s="25" t="n">
        <f>49727.0</f>
        <v>49727.0</v>
      </c>
      <c r="E19" s="26" t="n">
        <f>1318.0</f>
        <v>1318.0</v>
      </c>
      <c r="F19" s="27" t="n">
        <f>0.03</f>
        <v>0.03</v>
      </c>
      <c r="G19" s="25" t="n">
        <f>4426693991000.0</f>
        <v>4.426693991E12</v>
      </c>
      <c r="H19" s="26" t="n">
        <f>164893150000.0</f>
        <v>1.6489315E11</v>
      </c>
      <c r="I19" s="27" t="n">
        <f>0.315</f>
        <v>0.315</v>
      </c>
    </row>
    <row r="20" spans="1:9" ht="24.9" customHeight="1">
      <c r="A20" s="41"/>
      <c r="B20" s="39" t="s">
        <v>21</v>
      </c>
      <c r="C20" s="16" t="s">
        <v>15</v>
      </c>
      <c r="D20" s="17" t="n">
        <f>798985.0</f>
        <v>798985.0</v>
      </c>
      <c r="E20" s="18" t="n">
        <f>43264.0</f>
        <v>43264.0</v>
      </c>
      <c r="F20" s="19" t="n">
        <f>0.957</f>
        <v>0.957</v>
      </c>
      <c r="G20" s="17" t="n">
        <f>3825195031294.0</f>
        <v>3.825195031294E12</v>
      </c>
      <c r="H20" s="18" t="n">
        <f>388835829744.0</f>
        <v>3.88835829744E11</v>
      </c>
      <c r="I20" s="19" t="n">
        <f>0.661</f>
        <v>0.661</v>
      </c>
    </row>
    <row r="21" spans="1:9" ht="24.9" customHeight="1">
      <c r="A21" s="41"/>
      <c r="B21" s="39"/>
      <c r="C21" s="20" t="s">
        <v>16</v>
      </c>
      <c r="D21" s="21" t="n">
        <f>395097.0</f>
        <v>395097.0</v>
      </c>
      <c r="E21" s="22" t="n">
        <f>18877.0</f>
        <v>18877.0</v>
      </c>
      <c r="F21" s="23" t="n">
        <f>0.956</f>
        <v>0.956</v>
      </c>
      <c r="G21" s="21" t="n">
        <f>2380757510750.0</f>
        <v>2.38075751075E12</v>
      </c>
      <c r="H21" s="22" t="n">
        <f>164688975200.0</f>
        <v>1.646889752E11</v>
      </c>
      <c r="I21" s="23" t="n">
        <f>0.657</f>
        <v>0.657</v>
      </c>
    </row>
    <row r="22" spans="1:9" ht="24.9" customHeight="1">
      <c r="A22" s="41"/>
      <c r="B22" s="39"/>
      <c r="C22" s="20" t="s">
        <v>17</v>
      </c>
      <c r="D22" s="21" t="n">
        <f>375266.0</f>
        <v>375266.0</v>
      </c>
      <c r="E22" s="22" t="n">
        <f>28017.0</f>
        <v>28017.0</v>
      </c>
      <c r="F22" s="23" t="n">
        <f>0.927</f>
        <v>0.927</v>
      </c>
      <c r="G22" s="21" t="n">
        <f>3066453354241.0</f>
        <v>3.066453354241E12</v>
      </c>
      <c r="H22" s="22" t="n">
        <f>635338743491.0</f>
        <v>6.35338743491E11</v>
      </c>
      <c r="I22" s="23" t="n">
        <f>0.663</f>
        <v>0.663</v>
      </c>
    </row>
    <row r="23" spans="1:9" ht="24.9" customHeight="1">
      <c r="A23" s="41"/>
      <c r="B23" s="39"/>
      <c r="C23" s="24" t="s">
        <v>18</v>
      </c>
      <c r="D23" s="25" t="n">
        <f>1569348.0</f>
        <v>1569348.0</v>
      </c>
      <c r="E23" s="26" t="n">
        <f>90158.0</f>
        <v>90158.0</v>
      </c>
      <c r="F23" s="27" t="n">
        <f>0.949</f>
        <v>0.949</v>
      </c>
      <c r="G23" s="25" t="n">
        <f>9272405896285.0</f>
        <v>9.272405896285E12</v>
      </c>
      <c r="H23" s="26" t="n">
        <f>1188863548435.0</f>
        <v>1.188863548435E12</v>
      </c>
      <c r="I23" s="27" t="n">
        <f>0.66</f>
        <v>0.66</v>
      </c>
    </row>
    <row r="24" spans="1:9" ht="24.9" customHeight="1">
      <c r="A24" s="41"/>
      <c r="B24" s="39" t="s">
        <v>22</v>
      </c>
      <c r="C24" s="16" t="s">
        <v>15</v>
      </c>
      <c r="D24" s="17" t="n">
        <f>18715.0</f>
        <v>18715.0</v>
      </c>
      <c r="E24" s="18" t="n">
        <f>13.0</f>
        <v>13.0</v>
      </c>
      <c r="F24" s="19" t="n">
        <f>0.022</f>
        <v>0.022</v>
      </c>
      <c r="G24" s="17" t="n">
        <f>218540918200.0</f>
        <v>2.185409182E11</v>
      </c>
      <c r="H24" s="18" t="n">
        <f>33403500.0</f>
        <v>3.34035E7</v>
      </c>
      <c r="I24" s="19" t="n">
        <f>0.038</f>
        <v>0.038</v>
      </c>
    </row>
    <row r="25" spans="1:9" ht="24.9" customHeight="1">
      <c r="A25" s="41"/>
      <c r="B25" s="39"/>
      <c r="C25" s="20" t="s">
        <v>16</v>
      </c>
      <c r="D25" s="21" t="n">
        <f>6890.0</f>
        <v>6890.0</v>
      </c>
      <c r="E25" s="22" t="n">
        <f>0.0</f>
        <v>0.0</v>
      </c>
      <c r="F25" s="23" t="n">
        <f>0.017</f>
        <v>0.017</v>
      </c>
      <c r="G25" s="21" t="n">
        <f>65551273300.0</f>
        <v>6.55512733E10</v>
      </c>
      <c r="H25" s="22" t="n">
        <f>0.0</f>
        <v>0.0</v>
      </c>
      <c r="I25" s="23" t="n">
        <f>0.018</f>
        <v>0.018</v>
      </c>
    </row>
    <row r="26" spans="1:9" ht="24.9" customHeight="1">
      <c r="A26" s="41"/>
      <c r="B26" s="39"/>
      <c r="C26" s="20" t="s">
        <v>17</v>
      </c>
      <c r="D26" s="21" t="n">
        <f>5712.0</f>
        <v>5712.0</v>
      </c>
      <c r="E26" s="22" t="n">
        <f>51.0</f>
        <v>51.0</v>
      </c>
      <c r="F26" s="23" t="n">
        <f>0.014</f>
        <v>0.014</v>
      </c>
      <c r="G26" s="21" t="n">
        <f>44055267950.0</f>
        <v>4.405526795E10</v>
      </c>
      <c r="H26" s="22" t="n">
        <f>132925000.0</f>
        <v>1.32925E8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31317.0</f>
        <v>31317.0</v>
      </c>
      <c r="E27" s="26" t="n">
        <f>64.0</f>
        <v>64.0</v>
      </c>
      <c r="F27" s="27" t="n">
        <f>0.019</f>
        <v>0.019</v>
      </c>
      <c r="G27" s="25" t="n">
        <f>328147459450.0</f>
        <v>3.2814745945E11</v>
      </c>
      <c r="H27" s="26" t="n">
        <f>166328500.0</f>
        <v>1.663285E8</v>
      </c>
      <c r="I27" s="27" t="n">
        <f>0.023</f>
        <v>0.023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301.0</f>
        <v>301.0</v>
      </c>
      <c r="E28" s="18" t="n">
        <f>0.0</f>
        <v>0.0</v>
      </c>
      <c r="F28" s="19" t="n">
        <f>0.0</f>
        <v>0.0</v>
      </c>
      <c r="G28" s="17" t="n">
        <f>1310134500.0</f>
        <v>1.3101345E9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187.0</f>
        <v>187.0</v>
      </c>
      <c r="E29" s="22" t="n">
        <f>0.0</f>
        <v>0.0</v>
      </c>
      <c r="F29" s="23" t="n">
        <f>0.0</f>
        <v>0.0</v>
      </c>
      <c r="G29" s="21" t="n">
        <f>792978500.0</f>
        <v>7.929785E8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2580.0</f>
        <v>2580.0</v>
      </c>
      <c r="E30" s="22" t="n">
        <f>200.0</f>
        <v>200.0</v>
      </c>
      <c r="F30" s="23" t="n">
        <f>0.006</f>
        <v>0.006</v>
      </c>
      <c r="G30" s="21" t="n">
        <f>10540611700.0</f>
        <v>1.05406117E10</v>
      </c>
      <c r="H30" s="22" t="n">
        <f>388219200.0</f>
        <v>3.882192E8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3068.0</f>
        <v>3068.0</v>
      </c>
      <c r="E31" s="26" t="n">
        <f>200.0</f>
        <v>200.0</v>
      </c>
      <c r="F31" s="27" t="n">
        <f>0.002</f>
        <v>0.002</v>
      </c>
      <c r="G31" s="25" t="n">
        <f>12643724700.0</f>
        <v>1.26437247E10</v>
      </c>
      <c r="H31" s="26" t="n">
        <f>388219200.0</f>
        <v>3.882192E8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46282.0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46282.0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31329</f>
        <v>31329.0</v>
      </c>
      <c r="E11" s="18" t="n">
        <f>5636</f>
        <v>5636.0</v>
      </c>
      <c r="F11" s="19" t="n">
        <f>1</f>
        <v>1.0</v>
      </c>
      <c r="G11" s="17" t="n">
        <f>2412096710</f>
        <v>2.41209671E9</v>
      </c>
      <c r="H11" s="18" t="n">
        <f>1236511610</f>
        <v>1.23651161E9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29904</f>
        <v>29904.0</v>
      </c>
      <c r="E12" s="22" t="n">
        <f>6066</f>
        <v>6066.0</v>
      </c>
      <c r="F12" s="23" t="n">
        <f>1</f>
        <v>1.0</v>
      </c>
      <c r="G12" s="21" t="n">
        <f>4835558559</f>
        <v>4.835558559E9</v>
      </c>
      <c r="H12" s="22" t="n">
        <f>3426909380</f>
        <v>3.42690938E9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45254</f>
        <v>45254.0</v>
      </c>
      <c r="E13" s="22" t="n">
        <f>15344</f>
        <v>15344.0</v>
      </c>
      <c r="F13" s="23" t="n">
        <f>1</f>
        <v>1.0</v>
      </c>
      <c r="G13" s="21" t="n">
        <f>13824674562</f>
        <v>1.3824674562E10</v>
      </c>
      <c r="H13" s="22" t="n">
        <f>11726758480</f>
        <v>1.172675848E10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106487</f>
        <v>106487.0</v>
      </c>
      <c r="E14" s="26" t="n">
        <f>27046</f>
        <v>27046.0</v>
      </c>
      <c r="F14" s="27" t="n">
        <f>1</f>
        <v>1.0</v>
      </c>
      <c r="G14" s="25" t="n">
        <f>21072329831</f>
        <v>2.1072329831E10</v>
      </c>
      <c r="H14" s="26" t="n">
        <f>16390179470</f>
        <v>1.639017947E10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105</f>
        <v>105.0</v>
      </c>
      <c r="E15" s="18" t="n">
        <f>100</f>
        <v>100.0</v>
      </c>
      <c r="F15" s="19" t="n">
        <f>0.003</f>
        <v>0.003</v>
      </c>
      <c r="G15" s="17" t="n">
        <f>27520000</f>
        <v>2.752E7</v>
      </c>
      <c r="H15" s="18" t="n">
        <f>26500000</f>
        <v>2.65E7</v>
      </c>
      <c r="I15" s="19" t="n">
        <f>0.011</f>
        <v>0.011</v>
      </c>
    </row>
    <row r="16" spans="1:9" ht="24.9" customHeight="1">
      <c r="A16" s="41"/>
      <c r="B16" s="39"/>
      <c r="C16" s="20" t="s">
        <v>16</v>
      </c>
      <c r="D16" s="21" t="n">
        <f>185</f>
        <v>185.0</v>
      </c>
      <c r="E16" s="22" t="n">
        <f>160</f>
        <v>160.0</v>
      </c>
      <c r="F16" s="23" t="n">
        <f>0.006</f>
        <v>0.006</v>
      </c>
      <c r="G16" s="21" t="n">
        <f>33435000</f>
        <v>3.3435E7</v>
      </c>
      <c r="H16" s="22" t="n">
        <f>28475000</f>
        <v>2.8475E7</v>
      </c>
      <c r="I16" s="23" t="n">
        <f>0.007</f>
        <v>0.007</v>
      </c>
    </row>
    <row r="17" spans="1:9" ht="24.9" customHeight="1">
      <c r="A17" s="41"/>
      <c r="B17" s="39"/>
      <c r="C17" s="20" t="s">
        <v>17</v>
      </c>
      <c r="D17" s="21" t="n">
        <f>31</f>
        <v>31.0</v>
      </c>
      <c r="E17" s="22" t="n">
        <f>0</f>
        <v>0.0</v>
      </c>
      <c r="F17" s="23" t="n">
        <f>0.001</f>
        <v>0.001</v>
      </c>
      <c r="G17" s="21" t="n">
        <f>1810000</f>
        <v>1810000.0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321</f>
        <v>321.0</v>
      </c>
      <c r="E18" s="26" t="n">
        <f>260</f>
        <v>260.0</v>
      </c>
      <c r="F18" s="27" t="n">
        <f>0.003</f>
        <v>0.003</v>
      </c>
      <c r="G18" s="25" t="n">
        <f>62765000</f>
        <v>6.2765E7</v>
      </c>
      <c r="H18" s="26" t="n">
        <f>54975000</f>
        <v>5.4975E7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31224</f>
        <v>31224.0</v>
      </c>
      <c r="E19" s="18" t="n">
        <f>5536</f>
        <v>5536.0</v>
      </c>
      <c r="F19" s="19" t="n">
        <f>0.997</f>
        <v>0.997</v>
      </c>
      <c r="G19" s="17" t="n">
        <f>2384576710</f>
        <v>2.38457671E9</v>
      </c>
      <c r="H19" s="18" t="n">
        <f>1210011610</f>
        <v>1.21001161E9</v>
      </c>
      <c r="I19" s="19" t="n">
        <f>0.989</f>
        <v>0.989</v>
      </c>
    </row>
    <row r="20" spans="1:9" ht="24.9" customHeight="1">
      <c r="A20" s="41"/>
      <c r="B20" s="39"/>
      <c r="C20" s="20" t="s">
        <v>16</v>
      </c>
      <c r="D20" s="21" t="n">
        <f>24648</f>
        <v>24648.0</v>
      </c>
      <c r="E20" s="22" t="n">
        <f>5506</f>
        <v>5506.0</v>
      </c>
      <c r="F20" s="23" t="n">
        <f>0.824</f>
        <v>0.824</v>
      </c>
      <c r="G20" s="21" t="n">
        <f>4781833980</f>
        <v>4.78183398E9</v>
      </c>
      <c r="H20" s="22" t="n">
        <f>3396874380</f>
        <v>3.39687438E9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43315</f>
        <v>43315.0</v>
      </c>
      <c r="E21" s="22" t="n">
        <f>15344</f>
        <v>15344.0</v>
      </c>
      <c r="F21" s="23" t="n">
        <f>0.957</f>
        <v>0.957</v>
      </c>
      <c r="G21" s="21" t="n">
        <f>13816900480</f>
        <v>1.381690048E10</v>
      </c>
      <c r="H21" s="22" t="n">
        <f>11726758480</f>
        <v>1.172675848E10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99187</f>
        <v>99187.0</v>
      </c>
      <c r="E22" s="26" t="n">
        <f>26386</f>
        <v>26386.0</v>
      </c>
      <c r="F22" s="27" t="n">
        <f>0.931</f>
        <v>0.931</v>
      </c>
      <c r="G22" s="25" t="n">
        <f>20983311170</f>
        <v>2.098331117E10</v>
      </c>
      <c r="H22" s="26" t="n">
        <f>16333644470</f>
        <v>1.633364447E10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5071</f>
        <v>5071.0</v>
      </c>
      <c r="E24" s="22" t="n">
        <f>400</f>
        <v>400.0</v>
      </c>
      <c r="F24" s="23" t="n">
        <f>0.17</f>
        <v>0.17</v>
      </c>
      <c r="G24" s="21" t="n">
        <f>20289579</f>
        <v>2.0289579E7</v>
      </c>
      <c r="H24" s="22" t="n">
        <f>1560000</f>
        <v>1560000.0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1908</f>
        <v>1908.0</v>
      </c>
      <c r="E25" s="22" t="n">
        <f>0</f>
        <v>0.0</v>
      </c>
      <c r="F25" s="23" t="n">
        <f>0.042</f>
        <v>0.042</v>
      </c>
      <c r="G25" s="21" t="n">
        <f>5964082</f>
        <v>5964082.0</v>
      </c>
      <c r="H25" s="22" t="n">
        <f>0</f>
        <v>0.0</v>
      </c>
      <c r="I25" s="23" t="n">
        <f>0</f>
        <v>0.0</v>
      </c>
    </row>
    <row r="26" spans="1:9" ht="24.9" customHeight="1">
      <c r="A26" s="41"/>
      <c r="B26" s="39"/>
      <c r="C26" s="24" t="s">
        <v>18</v>
      </c>
      <c r="D26" s="25" t="n">
        <f>6979</f>
        <v>6979.0</v>
      </c>
      <c r="E26" s="26" t="n">
        <f>400</f>
        <v>400.0</v>
      </c>
      <c r="F26" s="27" t="n">
        <f>0.066</f>
        <v>0.066</v>
      </c>
      <c r="G26" s="25" t="n">
        <f>26253661</f>
        <v>2.6253661E7</v>
      </c>
      <c r="H26" s="26" t="n">
        <f>1560000</f>
        <v>1560000.0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46282.0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46282.0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12135.0</v>
      </c>
      <c r="F12" s="18" t="n">
        <f>838</f>
        <v>838.0</v>
      </c>
      <c r="G12" s="17" t="n">
        <v>7.788124115E11</v>
      </c>
      <c r="H12" s="18" t="n">
        <f>53702291500</f>
        <v>5.37022915E10</v>
      </c>
    </row>
    <row r="13" spans="1:8" ht="24.9" customHeight="1">
      <c r="A13" s="51"/>
      <c r="B13" s="57"/>
      <c r="C13" s="39"/>
      <c r="D13" s="20" t="s">
        <v>16</v>
      </c>
      <c r="E13" s="21" t="n">
        <v>8531.0</v>
      </c>
      <c r="F13" s="22" t="n">
        <f>696</f>
        <v>696.0</v>
      </c>
      <c r="G13" s="21" t="n">
        <v>5.475323914E11</v>
      </c>
      <c r="H13" s="22" t="n">
        <f>44680989400</f>
        <v>4.46809894E10</v>
      </c>
    </row>
    <row r="14" spans="1:8" ht="24.9" customHeight="1">
      <c r="A14" s="51"/>
      <c r="B14" s="57"/>
      <c r="C14" s="39"/>
      <c r="D14" s="20" t="s">
        <v>17</v>
      </c>
      <c r="E14" s="21" t="n">
        <v>11261.0</v>
      </c>
      <c r="F14" s="22" t="n">
        <f>2686</f>
        <v>2686.0</v>
      </c>
      <c r="G14" s="21" t="n">
        <v>7.20370381167E11</v>
      </c>
      <c r="H14" s="22" t="n">
        <f>171934811167</f>
        <v>1.71934811167E11</v>
      </c>
    </row>
    <row r="15" spans="1:8" ht="24.9" customHeight="1">
      <c r="A15" s="51"/>
      <c r="B15" s="57"/>
      <c r="C15" s="39"/>
      <c r="D15" s="24" t="s">
        <v>18</v>
      </c>
      <c r="E15" s="25" t="n">
        <v>31927.0</v>
      </c>
      <c r="F15" s="26" t="n">
        <f>4220</f>
        <v>4220.0</v>
      </c>
      <c r="G15" s="25" t="n">
        <v>2.046715184067E12</v>
      </c>
      <c r="H15" s="26" t="n">
        <f>270318092067</f>
        <v>2.70318092067E11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300139.0</v>
      </c>
      <c r="F16" s="18" t="n">
        <f>40056</f>
        <v>40056.0</v>
      </c>
      <c r="G16" s="17" t="n">
        <v>1.92592750107E12</v>
      </c>
      <c r="H16" s="18" t="n">
        <f>256903612070</f>
        <v>2.5690361207E11</v>
      </c>
    </row>
    <row r="17" spans="1:8" ht="24.9" customHeight="1">
      <c r="A17" s="51"/>
      <c r="B17" s="57"/>
      <c r="C17" s="39"/>
      <c r="D17" s="20" t="s">
        <v>16</v>
      </c>
      <c r="E17" s="21" t="n">
        <v>161262.0</v>
      </c>
      <c r="F17" s="22" t="n">
        <f>17792</f>
        <v>17792.0</v>
      </c>
      <c r="G17" s="21" t="n">
        <v>1.03484936045E12</v>
      </c>
      <c r="H17" s="22" t="n">
        <f>114131722950</f>
        <v>1.1413172295E11</v>
      </c>
    </row>
    <row r="18" spans="1:8" ht="24.9" customHeight="1">
      <c r="A18" s="51"/>
      <c r="B18" s="57"/>
      <c r="C18" s="39"/>
      <c r="D18" s="20" t="s">
        <v>17</v>
      </c>
      <c r="E18" s="21" t="n">
        <v>149012.0</v>
      </c>
      <c r="F18" s="22" t="n">
        <f>15720</f>
        <v>15720.0</v>
      </c>
      <c r="G18" s="21" t="n">
        <v>9.525730299E11</v>
      </c>
      <c r="H18" s="22" t="n">
        <f>100468446400</f>
        <v>1.004684464E11</v>
      </c>
    </row>
    <row r="19" spans="1:8" ht="24.9" customHeight="1">
      <c r="A19" s="51"/>
      <c r="B19" s="57"/>
      <c r="C19" s="39"/>
      <c r="D19" s="24" t="s">
        <v>18</v>
      </c>
      <c r="E19" s="25" t="n">
        <v>610413.0</v>
      </c>
      <c r="F19" s="26" t="n">
        <f>73568</f>
        <v>73568.0</v>
      </c>
      <c r="G19" s="25" t="n">
        <v>3.91334989142E12</v>
      </c>
      <c r="H19" s="26" t="n">
        <f>471503781420</f>
        <v>4.7150378142E11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458381.0</v>
      </c>
      <c r="F20" s="18" t="str">
        <f>"－"</f>
        <v>－</v>
      </c>
      <c r="G20" s="17" t="n">
        <v>2.941090003E11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201938.0</v>
      </c>
      <c r="F21" s="22" t="str">
        <f>"－"</f>
        <v>－</v>
      </c>
      <c r="G21" s="21" t="n">
        <v>1.2959287305E11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175549.0</v>
      </c>
      <c r="F22" s="22" t="str">
        <f>"－"</f>
        <v>－</v>
      </c>
      <c r="G22" s="21" t="n">
        <v>1.1220234055E11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835868.0</v>
      </c>
      <c r="F23" s="26" t="str">
        <f>"－"</f>
        <v>－</v>
      </c>
      <c r="G23" s="25" t="n">
        <v>5.359042139E11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19520.0</v>
      </c>
      <c r="F24" s="18" t="n">
        <f>1877</f>
        <v>1877.0</v>
      </c>
      <c r="G24" s="17" t="n">
        <v>7.93656874574E11</v>
      </c>
      <c r="H24" s="18" t="n">
        <f>76301529574</f>
        <v>7.6301529574E10</v>
      </c>
    </row>
    <row r="25" spans="1:8" ht="24.9" customHeight="1">
      <c r="A25" s="51"/>
      <c r="B25" s="57"/>
      <c r="C25" s="39"/>
      <c r="D25" s="20" t="s">
        <v>16</v>
      </c>
      <c r="E25" s="21" t="n">
        <v>15729.0</v>
      </c>
      <c r="F25" s="22" t="n">
        <f>121</f>
        <v>121.0</v>
      </c>
      <c r="G25" s="21" t="n">
        <v>6.411058915E11</v>
      </c>
      <c r="H25" s="22" t="n">
        <f>4924166500</f>
        <v>4.9241665E9</v>
      </c>
    </row>
    <row r="26" spans="1:8" ht="24.9" customHeight="1">
      <c r="A26" s="51"/>
      <c r="B26" s="57"/>
      <c r="C26" s="39"/>
      <c r="D26" s="20" t="s">
        <v>17</v>
      </c>
      <c r="E26" s="21" t="n">
        <v>30734.0</v>
      </c>
      <c r="F26" s="22" t="n">
        <f>8844</f>
        <v>8844.0</v>
      </c>
      <c r="G26" s="21" t="n">
        <v>1.251096898324E12</v>
      </c>
      <c r="H26" s="22" t="n">
        <f>360025193324</f>
        <v>3.60025193324E11</v>
      </c>
    </row>
    <row r="27" spans="1:8" ht="24.9" customHeight="1">
      <c r="A27" s="51"/>
      <c r="B27" s="57"/>
      <c r="C27" s="39"/>
      <c r="D27" s="24" t="s">
        <v>18</v>
      </c>
      <c r="E27" s="25" t="n">
        <v>65983.0</v>
      </c>
      <c r="F27" s="26" t="n">
        <f>10842</f>
        <v>10842.0</v>
      </c>
      <c r="G27" s="25" t="n">
        <v>2.685859664398E12</v>
      </c>
      <c r="H27" s="26" t="n">
        <f>441250889398</f>
        <v>4.41250889398E11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7100.0</v>
      </c>
      <c r="F28" s="18" t="n">
        <f>463</f>
        <v>463.0</v>
      </c>
      <c r="G28" s="17" t="n">
        <v>2.885352605E10</v>
      </c>
      <c r="H28" s="18" t="n">
        <f>1879590300</f>
        <v>1.8795903E9</v>
      </c>
    </row>
    <row r="29" spans="1:8" ht="24.9" customHeight="1">
      <c r="A29" s="51"/>
      <c r="B29" s="57"/>
      <c r="C29" s="39"/>
      <c r="D29" s="20" t="s">
        <v>16</v>
      </c>
      <c r="E29" s="21" t="n">
        <v>5996.0</v>
      </c>
      <c r="F29" s="22" t="n">
        <f>211</f>
        <v>211.0</v>
      </c>
      <c r="G29" s="21" t="n">
        <v>2.443602925E10</v>
      </c>
      <c r="H29" s="22" t="n">
        <f>859806750</f>
        <v>8.5980675E8</v>
      </c>
    </row>
    <row r="30" spans="1:8" ht="24.9" customHeight="1">
      <c r="A30" s="51"/>
      <c r="B30" s="57"/>
      <c r="C30" s="39"/>
      <c r="D30" s="20" t="s">
        <v>17</v>
      </c>
      <c r="E30" s="21" t="n">
        <v>6735.0</v>
      </c>
      <c r="F30" s="22" t="n">
        <f>654</f>
        <v>654.0</v>
      </c>
      <c r="G30" s="21" t="n">
        <v>2.741453795E10</v>
      </c>
      <c r="H30" s="22" t="n">
        <f>2661232950</f>
        <v>2.66123295E9</v>
      </c>
    </row>
    <row r="31" spans="1:8" ht="24.9" customHeight="1">
      <c r="A31" s="51"/>
      <c r="B31" s="57"/>
      <c r="C31" s="39"/>
      <c r="D31" s="24" t="s">
        <v>18</v>
      </c>
      <c r="E31" s="25" t="n">
        <v>19831.0</v>
      </c>
      <c r="F31" s="26" t="n">
        <f>1328</f>
        <v>1328.0</v>
      </c>
      <c r="G31" s="25" t="n">
        <v>8.070409325E10</v>
      </c>
      <c r="H31" s="26" t="n">
        <f>5400630000</f>
        <v>5.40063E9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594.0</v>
      </c>
      <c r="F36" s="18" t="n">
        <f>2</f>
        <v>2.0</v>
      </c>
      <c r="G36" s="17" t="n">
        <v>2.163964E9</v>
      </c>
      <c r="H36" s="18" t="n">
        <f>7276000</f>
        <v>7276000.0</v>
      </c>
    </row>
    <row r="37" spans="1:8" ht="24.9" customHeight="1">
      <c r="A37" s="51"/>
      <c r="B37" s="57"/>
      <c r="C37" s="39"/>
      <c r="D37" s="20" t="s">
        <v>16</v>
      </c>
      <c r="E37" s="21" t="n">
        <v>567.0</v>
      </c>
      <c r="F37" s="22" t="n">
        <f>0</f>
        <v>0.0</v>
      </c>
      <c r="G37" s="21" t="n">
        <v>2.075991E9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347.0</v>
      </c>
      <c r="F38" s="22" t="n">
        <f>45</f>
        <v>45.0</v>
      </c>
      <c r="G38" s="21" t="n">
        <v>1.2690495E9</v>
      </c>
      <c r="H38" s="22" t="n">
        <f>164498500</f>
        <v>1.644985E8</v>
      </c>
    </row>
    <row r="39" spans="1:8" ht="24.9" customHeight="1">
      <c r="A39" s="51"/>
      <c r="B39" s="57"/>
      <c r="C39" s="39"/>
      <c r="D39" s="24" t="s">
        <v>18</v>
      </c>
      <c r="E39" s="25" t="n">
        <v>1508.0</v>
      </c>
      <c r="F39" s="26" t="n">
        <f>47</f>
        <v>47.0</v>
      </c>
      <c r="G39" s="25" t="n">
        <v>5.5090045E9</v>
      </c>
      <c r="H39" s="26" t="n">
        <f>171774500</f>
        <v>1.717745E8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13.0</v>
      </c>
      <c r="F48" s="18" t="n">
        <f>7</f>
        <v>7.0</v>
      </c>
      <c r="G48" s="17" t="n">
        <v>2.2652E7</v>
      </c>
      <c r="H48" s="18" t="n">
        <f>12212000</f>
        <v>1.2212E7</v>
      </c>
    </row>
    <row r="49" spans="1:8" ht="24.9" customHeight="1">
      <c r="A49" s="51"/>
      <c r="B49" s="57"/>
      <c r="C49" s="39"/>
      <c r="D49" s="20" t="s">
        <v>16</v>
      </c>
      <c r="E49" s="21" t="n">
        <v>128.0</v>
      </c>
      <c r="F49" s="22" t="n">
        <f>0</f>
        <v>0.0</v>
      </c>
      <c r="G49" s="21" t="n">
        <v>2.229325E8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68.0</v>
      </c>
      <c r="F50" s="22" t="n">
        <f>10</f>
        <v>10.0</v>
      </c>
      <c r="G50" s="21" t="n">
        <v>1.1836355E8</v>
      </c>
      <c r="H50" s="22" t="n">
        <f>17426550</f>
        <v>1.742655E7</v>
      </c>
    </row>
    <row r="51" spans="1:8" ht="24.9" customHeight="1">
      <c r="A51" s="51"/>
      <c r="B51" s="57"/>
      <c r="C51" s="39"/>
      <c r="D51" s="24" t="s">
        <v>18</v>
      </c>
      <c r="E51" s="25" t="n">
        <v>209.0</v>
      </c>
      <c r="F51" s="26" t="n">
        <f>17</f>
        <v>17.0</v>
      </c>
      <c r="G51" s="25" t="n">
        <v>3.6394805E8</v>
      </c>
      <c r="H51" s="26" t="n">
        <f>29638550</f>
        <v>2.963855E7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653.0</v>
      </c>
      <c r="F56" s="18" t="n">
        <f>18</f>
        <v>18.0</v>
      </c>
      <c r="G56" s="17" t="n">
        <v>4.97087E8</v>
      </c>
      <c r="H56" s="18" t="n">
        <f>13699000</f>
        <v>1.3699E7</v>
      </c>
    </row>
    <row r="57" spans="1:8" ht="24.9" customHeight="1">
      <c r="A57" s="51"/>
      <c r="B57" s="57"/>
      <c r="C57" s="39"/>
      <c r="D57" s="20" t="s">
        <v>16</v>
      </c>
      <c r="E57" s="21" t="n">
        <v>886.0</v>
      </c>
      <c r="F57" s="22" t="n">
        <f>46</f>
        <v>46.0</v>
      </c>
      <c r="G57" s="21" t="n">
        <v>6.835431E8</v>
      </c>
      <c r="H57" s="22" t="n">
        <f>35386100</f>
        <v>3.53861E7</v>
      </c>
    </row>
    <row r="58" spans="1:8" ht="24.9" customHeight="1">
      <c r="A58" s="51"/>
      <c r="B58" s="57"/>
      <c r="C58" s="39"/>
      <c r="D58" s="20" t="s">
        <v>17</v>
      </c>
      <c r="E58" s="21" t="n">
        <v>1454.0</v>
      </c>
      <c r="F58" s="22" t="n">
        <f>53</f>
        <v>53.0</v>
      </c>
      <c r="G58" s="21" t="n">
        <v>1.1270149E9</v>
      </c>
      <c r="H58" s="22" t="n">
        <f>41232900</f>
        <v>4.12329E7</v>
      </c>
    </row>
    <row r="59" spans="1:8" ht="24.9" customHeight="1">
      <c r="A59" s="51"/>
      <c r="B59" s="57"/>
      <c r="C59" s="39"/>
      <c r="D59" s="24" t="s">
        <v>18</v>
      </c>
      <c r="E59" s="25" t="n">
        <v>2993.0</v>
      </c>
      <c r="F59" s="26" t="n">
        <f>117</f>
        <v>117.0</v>
      </c>
      <c r="G59" s="25" t="n">
        <v>2.307645E9</v>
      </c>
      <c r="H59" s="26" t="n">
        <f>90318000</f>
        <v>9.0318E7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110.0</v>
      </c>
      <c r="F60" s="18" t="n">
        <f>3</f>
        <v>3.0</v>
      </c>
      <c r="G60" s="17" t="n">
        <v>5.7171E8</v>
      </c>
      <c r="H60" s="18" t="n">
        <f>15619300</f>
        <v>1.56193E7</v>
      </c>
    </row>
    <row r="61" spans="1:8" ht="24.9" customHeight="1">
      <c r="A61" s="51"/>
      <c r="B61" s="57"/>
      <c r="C61" s="39"/>
      <c r="D61" s="20" t="s">
        <v>16</v>
      </c>
      <c r="E61" s="21" t="n">
        <v>46.0</v>
      </c>
      <c r="F61" s="22" t="n">
        <f>11</f>
        <v>11.0</v>
      </c>
      <c r="G61" s="21" t="n">
        <v>2.381593E8</v>
      </c>
      <c r="H61" s="22" t="n">
        <f>56903500</f>
        <v>5.69035E7</v>
      </c>
    </row>
    <row r="62" spans="1:8" ht="24.9" customHeight="1">
      <c r="A62" s="51"/>
      <c r="B62" s="57"/>
      <c r="C62" s="39"/>
      <c r="D62" s="20" t="s">
        <v>17</v>
      </c>
      <c r="E62" s="21" t="n">
        <v>33.0</v>
      </c>
      <c r="F62" s="22" t="n">
        <f>5</f>
        <v>5.0</v>
      </c>
      <c r="G62" s="21" t="n">
        <v>1.714226E8</v>
      </c>
      <c r="H62" s="22" t="n">
        <f>25901700</f>
        <v>2.59017E7</v>
      </c>
    </row>
    <row r="63" spans="1:8" ht="24.9" customHeight="1">
      <c r="A63" s="51"/>
      <c r="B63" s="57"/>
      <c r="C63" s="39"/>
      <c r="D63" s="24" t="s">
        <v>18</v>
      </c>
      <c r="E63" s="25" t="n">
        <v>189.0</v>
      </c>
      <c r="F63" s="26" t="n">
        <f>19</f>
        <v>19.0</v>
      </c>
      <c r="G63" s="25" t="n">
        <v>9.812919E8</v>
      </c>
      <c r="H63" s="26" t="n">
        <f>98424500</f>
        <v>9.84245E7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960500.0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4.0</v>
      </c>
      <c r="F78" s="22" t="n">
        <f>0</f>
        <v>0.0</v>
      </c>
      <c r="G78" s="21" t="n">
        <v>1229000.0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7.0</v>
      </c>
      <c r="F79" s="26" t="n">
        <f>0</f>
        <v>0.0</v>
      </c>
      <c r="G79" s="25" t="n">
        <v>2189500.0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254.0</v>
      </c>
      <c r="F92" s="18" t="n">
        <f>0</f>
        <v>0.0</v>
      </c>
      <c r="G92" s="17" t="n">
        <v>3.919808E8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8.0</v>
      </c>
      <c r="F93" s="22" t="n">
        <f>0</f>
        <v>0.0</v>
      </c>
      <c r="G93" s="21" t="n">
        <v>1.24037E7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66.0</v>
      </c>
      <c r="F94" s="22" t="n">
        <f>0</f>
        <v>0.0</v>
      </c>
      <c r="G94" s="21" t="n">
        <v>1.021058E8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328.0</v>
      </c>
      <c r="F95" s="26" t="n">
        <f>0</f>
        <v>0.0</v>
      </c>
      <c r="G95" s="25" t="n">
        <v>5.064903E8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66.0</v>
      </c>
      <c r="F96" s="18" t="n">
        <f>0</f>
        <v>0.0</v>
      </c>
      <c r="G96" s="17" t="n">
        <v>1.52641E8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3.0</v>
      </c>
      <c r="F97" s="22" t="n">
        <f>0</f>
        <v>0.0</v>
      </c>
      <c r="G97" s="21" t="n">
        <v>6975000.0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3.0</v>
      </c>
      <c r="F98" s="22" t="n">
        <f>0</f>
        <v>0.0</v>
      </c>
      <c r="G98" s="21" t="n">
        <v>6981000.0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72.0</v>
      </c>
      <c r="F99" s="26" t="n">
        <f>0</f>
        <v>0.0</v>
      </c>
      <c r="G99" s="25" t="n">
        <v>1.66597E8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20.0</v>
      </c>
      <c r="F100" s="18" t="n">
        <f>0</f>
        <v>0.0</v>
      </c>
      <c r="G100" s="17" t="n">
        <v>3.5683E7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20.0</v>
      </c>
      <c r="F103" s="26" t="n">
        <f>0</f>
        <v>0.0</v>
      </c>
      <c r="G103" s="25" t="n">
        <v>3.5683E7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13179.0</v>
      </c>
      <c r="F108" s="18" t="n">
        <f>306</f>
        <v>306.0</v>
      </c>
      <c r="G108" s="17" t="n">
        <v>1.65031834E12</v>
      </c>
      <c r="H108" s="18" t="n">
        <f>38293070000</f>
        <v>3.829307E10</v>
      </c>
    </row>
    <row r="109" spans="1:8" ht="24.9" customHeight="1">
      <c r="A109" s="51"/>
      <c r="B109" s="57"/>
      <c r="C109" s="39"/>
      <c r="D109" s="20" t="s">
        <v>16</v>
      </c>
      <c r="E109" s="21" t="n">
        <v>9160.0</v>
      </c>
      <c r="F109" s="22" t="n">
        <f>277</f>
        <v>277.0</v>
      </c>
      <c r="G109" s="21" t="n">
        <v>1.146250635E12</v>
      </c>
      <c r="H109" s="22" t="n">
        <f>34658505000</f>
        <v>3.4658505E10</v>
      </c>
    </row>
    <row r="110" spans="1:8" ht="24.9" customHeight="1">
      <c r="A110" s="51"/>
      <c r="B110" s="57"/>
      <c r="C110" s="39"/>
      <c r="D110" s="20" t="s">
        <v>17</v>
      </c>
      <c r="E110" s="21" t="n">
        <v>9990.0</v>
      </c>
      <c r="F110" s="22" t="n">
        <f>735</f>
        <v>735.0</v>
      </c>
      <c r="G110" s="21" t="n">
        <v>1.249492395E12</v>
      </c>
      <c r="H110" s="22" t="n">
        <f>91941575000</f>
        <v>9.1941575E10</v>
      </c>
    </row>
    <row r="111" spans="1:8" ht="24.9" customHeight="1">
      <c r="A111" s="51"/>
      <c r="B111" s="57"/>
      <c r="C111" s="39"/>
      <c r="D111" s="24" t="s">
        <v>18</v>
      </c>
      <c r="E111" s="25" t="n">
        <v>32329.0</v>
      </c>
      <c r="F111" s="26" t="n">
        <f>1318</f>
        <v>1318.0</v>
      </c>
      <c r="G111" s="25" t="n">
        <v>4.04606137E12</v>
      </c>
      <c r="H111" s="26" t="n">
        <f>164893150000</f>
        <v>1.6489315E11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1835.0</v>
      </c>
      <c r="F113" s="22" t="n">
        <f>0</f>
        <v>0.0</v>
      </c>
      <c r="G113" s="21" t="n">
        <v>2.2963124E10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1805.0</v>
      </c>
      <c r="F114" s="22" t="n">
        <f>0</f>
        <v>0.0</v>
      </c>
      <c r="G114" s="21" t="n">
        <v>2.2574872E10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3640.0</v>
      </c>
      <c r="F115" s="26" t="n">
        <f>0</f>
        <v>0.0</v>
      </c>
      <c r="G115" s="25" t="n">
        <v>4.5537996E10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250.0</v>
      </c>
      <c r="F118" s="22" t="n">
        <f>0</f>
        <v>0.0</v>
      </c>
      <c r="G118" s="21" t="n">
        <v>2.21684E9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250.0</v>
      </c>
      <c r="F119" s="26" t="n">
        <f>0</f>
        <v>0.0</v>
      </c>
      <c r="G119" s="25" t="n">
        <v>2.21684E9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3822.0</v>
      </c>
      <c r="F120" s="18" t="n">
        <f>0</f>
        <v>0.0</v>
      </c>
      <c r="G120" s="17" t="n">
        <v>9.4111639375E10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300.0</v>
      </c>
      <c r="F121" s="22" t="n">
        <f>0</f>
        <v>0.0</v>
      </c>
      <c r="G121" s="21" t="n">
        <v>7.397545E9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9386.0</v>
      </c>
      <c r="F122" s="22" t="n">
        <f>0</f>
        <v>0.0</v>
      </c>
      <c r="G122" s="21" t="n">
        <v>2.31368600625E11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13508.0</v>
      </c>
      <c r="F123" s="26" t="n">
        <f>0</f>
        <v>0.0</v>
      </c>
      <c r="G123" s="25" t="n">
        <v>3.32877785E11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8849.0</v>
      </c>
      <c r="F124" s="18" t="n">
        <f>0</f>
        <v>0.0</v>
      </c>
      <c r="G124" s="17" t="n">
        <v>1.9554572E11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2476.0</v>
      </c>
      <c r="F125" s="22" t="n">
        <f>0</f>
        <v>0.0</v>
      </c>
      <c r="G125" s="21" t="n">
        <v>5.4663635E10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1546.0</v>
      </c>
      <c r="F126" s="22" t="n">
        <f>0</f>
        <v>0.0</v>
      </c>
      <c r="G126" s="21" t="n">
        <v>3.4139118E10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12871.0</v>
      </c>
      <c r="F127" s="26" t="n">
        <f>0</f>
        <v>0.0</v>
      </c>
      <c r="G127" s="25" t="n">
        <v>2.84348473E11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108.0</v>
      </c>
      <c r="F128" s="18" t="n">
        <f>0</f>
        <v>0.0</v>
      </c>
      <c r="G128" s="17" t="n">
        <v>2.358109E8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165.0</v>
      </c>
      <c r="F129" s="22" t="n">
        <f>0</f>
        <v>0.0</v>
      </c>
      <c r="G129" s="21" t="n">
        <v>3.608348E8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72.0</v>
      </c>
      <c r="F130" s="22" t="n">
        <f>0</f>
        <v>0.0</v>
      </c>
      <c r="G130" s="21" t="n">
        <v>1.570296E8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345.0</v>
      </c>
      <c r="F131" s="26" t="n">
        <f>0</f>
        <v>0.0</v>
      </c>
      <c r="G131" s="25" t="n">
        <v>7.536753E8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7901.0</v>
      </c>
      <c r="F132" s="18" t="n">
        <f>0</f>
        <v>0.0</v>
      </c>
      <c r="G132" s="17" t="n">
        <v>1.75216706E10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2882.0</v>
      </c>
      <c r="F133" s="22" t="n">
        <f>0</f>
        <v>0.0</v>
      </c>
      <c r="G133" s="21" t="n">
        <v>6.37752905E9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2201.0</v>
      </c>
      <c r="F134" s="22" t="n">
        <f>0</f>
        <v>0.0</v>
      </c>
      <c r="G134" s="21" t="n">
        <v>4.8696433E9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12984.0</v>
      </c>
      <c r="F135" s="26" t="n">
        <f>0</f>
        <v>0.0</v>
      </c>
      <c r="G135" s="25" t="n">
        <v>2.876884295E10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49.0</v>
      </c>
      <c r="F136" s="18" t="n">
        <f>0</f>
        <v>0.0</v>
      </c>
      <c r="G136" s="17" t="n">
        <v>1.060466E8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13.0</v>
      </c>
      <c r="F137" s="22" t="n">
        <f>0</f>
        <v>0.0</v>
      </c>
      <c r="G137" s="21" t="n">
        <v>2.80544E7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36.0</v>
      </c>
      <c r="F138" s="22" t="n">
        <f>0</f>
        <v>0.0</v>
      </c>
      <c r="G138" s="21" t="n">
        <v>7.77788E7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98.0</v>
      </c>
      <c r="F139" s="26" t="n">
        <f>0</f>
        <v>0.0</v>
      </c>
      <c r="G139" s="25" t="n">
        <v>2.118798E8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1000.0</v>
      </c>
      <c r="F144" s="18" t="n">
        <f>0</f>
        <v>0.0</v>
      </c>
      <c r="G144" s="17" t="n">
        <v>4.3310455E9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807.0</v>
      </c>
      <c r="F145" s="22" t="n">
        <f>0</f>
        <v>0.0</v>
      </c>
      <c r="G145" s="21" t="n">
        <v>3.509814E9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777.0</v>
      </c>
      <c r="F146" s="22" t="n">
        <f>1</f>
        <v>1.0</v>
      </c>
      <c r="G146" s="21" t="n">
        <v>3.393617E9</v>
      </c>
      <c r="H146" s="22" t="n">
        <f>4450000</f>
        <v>4450000.0</v>
      </c>
    </row>
    <row r="147" spans="1:8" ht="24.9" customHeight="1">
      <c r="A147" s="51"/>
      <c r="B147" s="57"/>
      <c r="C147" s="39"/>
      <c r="D147" s="24" t="s">
        <v>18</v>
      </c>
      <c r="E147" s="25" t="n">
        <v>2584.0</v>
      </c>
      <c r="F147" s="26" t="n">
        <f>1</f>
        <v>1.0</v>
      </c>
      <c r="G147" s="25" t="n">
        <v>1.12344765E10</v>
      </c>
      <c r="H147" s="26" t="n">
        <f>4450000</f>
        <v>4450000.0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14.0</v>
      </c>
      <c r="F148" s="18" t="n">
        <f>0</f>
        <v>0.0</v>
      </c>
      <c r="G148" s="17" t="n">
        <v>1.25306E7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57.0</v>
      </c>
      <c r="F149" s="22" t="n">
        <f>0</f>
        <v>0.0</v>
      </c>
      <c r="G149" s="21" t="n">
        <v>5.08927E7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119.0</v>
      </c>
      <c r="F150" s="22" t="n">
        <f>0</f>
        <v>0.0</v>
      </c>
      <c r="G150" s="21" t="n">
        <v>1.063986E8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190.0</v>
      </c>
      <c r="F151" s="26" t="n">
        <f>0</f>
        <v>0.0</v>
      </c>
      <c r="G151" s="25" t="n">
        <v>1.698219E8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432.0</v>
      </c>
      <c r="F152" s="18" t="n">
        <f>0</f>
        <v>0.0</v>
      </c>
      <c r="G152" s="17" t="n">
        <v>3.750413E8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174.0</v>
      </c>
      <c r="F153" s="22" t="n">
        <f>0</f>
        <v>0.0</v>
      </c>
      <c r="G153" s="21" t="n">
        <v>1.5147325E8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320.0</v>
      </c>
      <c r="F154" s="22" t="n">
        <f>0</f>
        <v>0.0</v>
      </c>
      <c r="G154" s="21" t="n">
        <v>2.7959715E8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926.0</v>
      </c>
      <c r="F155" s="26" t="n">
        <f>0</f>
        <v>0.0</v>
      </c>
      <c r="G155" s="25" t="n">
        <v>8.061117E8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289.0</v>
      </c>
      <c r="F156" s="18" t="n">
        <f>0</f>
        <v>0.0</v>
      </c>
      <c r="G156" s="17" t="n">
        <v>2.527832E8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212.0</v>
      </c>
      <c r="F157" s="22" t="n">
        <f>0</f>
        <v>0.0</v>
      </c>
      <c r="G157" s="21" t="n">
        <v>1.858736E8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291.0</v>
      </c>
      <c r="F158" s="22" t="n">
        <f>0</f>
        <v>0.0</v>
      </c>
      <c r="G158" s="21" t="n">
        <v>2.557915E8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792.0</v>
      </c>
      <c r="F159" s="26" t="n">
        <f>0</f>
        <v>0.0</v>
      </c>
      <c r="G159" s="25" t="n">
        <v>6.944483E8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69.0</v>
      </c>
      <c r="F168" s="18" t="n">
        <f>13</f>
        <v>13.0</v>
      </c>
      <c r="G168" s="17" t="n">
        <v>1.527095E8</v>
      </c>
      <c r="H168" s="18" t="n">
        <f>33403500</f>
        <v>3.34035E7</v>
      </c>
    </row>
    <row r="169" spans="1:8" ht="24.9" customHeight="1">
      <c r="A169" s="51"/>
      <c r="B169" s="57"/>
      <c r="C169" s="39"/>
      <c r="D169" s="20" t="s">
        <v>16</v>
      </c>
      <c r="E169" s="21" t="n">
        <v>104.0</v>
      </c>
      <c r="F169" s="22" t="n">
        <f>0</f>
        <v>0.0</v>
      </c>
      <c r="G169" s="21" t="n">
        <v>2.231665E8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350.0</v>
      </c>
      <c r="F170" s="22" t="n">
        <f>50</f>
        <v>50.0</v>
      </c>
      <c r="G170" s="21" t="n">
        <v>7.76294E8</v>
      </c>
      <c r="H170" s="22" t="n">
        <f>128475000</f>
        <v>1.28475E8</v>
      </c>
    </row>
    <row r="171" spans="1:8" ht="24.9" customHeight="1">
      <c r="A171" s="51"/>
      <c r="B171" s="57"/>
      <c r="C171" s="39"/>
      <c r="D171" s="24" t="s">
        <v>18</v>
      </c>
      <c r="E171" s="25" t="n">
        <v>523.0</v>
      </c>
      <c r="F171" s="26" t="n">
        <f>63</f>
        <v>63.0</v>
      </c>
      <c r="G171" s="25" t="n">
        <v>1.15217E9</v>
      </c>
      <c r="H171" s="26" t="n">
        <f>161878500</f>
        <v>1.618785E8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7560000.0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7560000.0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301.0</v>
      </c>
      <c r="F204" s="18" t="n">
        <f>0</f>
        <v>0.0</v>
      </c>
      <c r="G204" s="17" t="n">
        <v>1.3101345E9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187.0</v>
      </c>
      <c r="F205" s="22" t="n">
        <f>0</f>
        <v>0.0</v>
      </c>
      <c r="G205" s="21" t="n">
        <v>7.929785E8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2380.0</v>
      </c>
      <c r="F206" s="22" t="n">
        <f>0</f>
        <v>0.0</v>
      </c>
      <c r="G206" s="21" t="n">
        <v>1.01523925E10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2868.0</v>
      </c>
      <c r="F207" s="26" t="n">
        <f>0</f>
        <v>0.0</v>
      </c>
      <c r="G207" s="25" t="n">
        <v>1.22555055E10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200.0</v>
      </c>
      <c r="F210" s="22" t="n">
        <f>200</f>
        <v>200.0</v>
      </c>
      <c r="G210" s="21" t="n">
        <v>3.882192E8</v>
      </c>
      <c r="H210" s="22" t="n">
        <f>388219200</f>
        <v>3.882192E8</v>
      </c>
    </row>
    <row r="211" spans="1:8" ht="24.9" customHeight="1">
      <c r="A211" s="57"/>
      <c r="B211" s="59"/>
      <c r="C211" s="39"/>
      <c r="D211" s="24" t="s">
        <v>18</v>
      </c>
      <c r="E211" s="25" t="n">
        <v>200.0</v>
      </c>
      <c r="F211" s="26" t="n">
        <f>200</f>
        <v>200.0</v>
      </c>
      <c r="G211" s="25" t="n">
        <v>3.882192E8</v>
      </c>
      <c r="H211" s="26" t="n">
        <f>388219200</f>
        <v>3.882192E8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46282.0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46282.0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3235</f>
        <v>3235.0</v>
      </c>
      <c r="E12" s="35" t="n">
        <f>1559</f>
        <v>1559.0</v>
      </c>
      <c r="F12" s="17" t="n">
        <f>2225</f>
        <v>2225.0</v>
      </c>
      <c r="G12" s="35" t="n">
        <f>517</f>
        <v>517.0</v>
      </c>
      <c r="H12" s="17" t="n">
        <f>5460</f>
        <v>5460.0</v>
      </c>
      <c r="I12" s="35" t="n">
        <f>2076</f>
        <v>2076.0</v>
      </c>
      <c r="J12" s="17" t="n">
        <f>1352347850</f>
        <v>1.35234785E9</v>
      </c>
      <c r="K12" s="35" t="n">
        <f>968114850</f>
        <v>9.6811485E8</v>
      </c>
      <c r="L12" s="17" t="n">
        <f>369187270</f>
        <v>3.6918727E8</v>
      </c>
      <c r="M12" s="35" t="n">
        <f>78236270</f>
        <v>7.823627E7</v>
      </c>
      <c r="N12" s="17" t="n">
        <f>1721535120</f>
        <v>1.72153512E9</v>
      </c>
      <c r="O12" s="35" t="n">
        <f>1046351120</f>
        <v>1.04635112E9</v>
      </c>
    </row>
    <row r="13" spans="1:15" ht="24.9" customHeight="1">
      <c r="A13" s="38"/>
      <c r="B13" s="62"/>
      <c r="C13" s="20" t="s">
        <v>16</v>
      </c>
      <c r="D13" s="21" t="n">
        <f>4838</f>
        <v>4838.0</v>
      </c>
      <c r="E13" s="36" t="n">
        <f>2778</f>
        <v>2778.0</v>
      </c>
      <c r="F13" s="21" t="n">
        <f>2731</f>
        <v>2731.0</v>
      </c>
      <c r="G13" s="36" t="n">
        <f>1148</f>
        <v>1148.0</v>
      </c>
      <c r="H13" s="21" t="n">
        <f>7569</f>
        <v>7569.0</v>
      </c>
      <c r="I13" s="36" t="n">
        <f>3926</f>
        <v>3926.0</v>
      </c>
      <c r="J13" s="21" t="n">
        <f>3127277710</f>
        <v>3.12727771E9</v>
      </c>
      <c r="K13" s="36" t="n">
        <f>2443579710</f>
        <v>2.44357971E9</v>
      </c>
      <c r="L13" s="21" t="n">
        <f>1229103790</f>
        <v>1.22910379E9</v>
      </c>
      <c r="M13" s="36" t="n">
        <f>853948790</f>
        <v>8.5394879E8</v>
      </c>
      <c r="N13" s="21" t="n">
        <f>4356381500</f>
        <v>4.3563815E9</v>
      </c>
      <c r="O13" s="36" t="n">
        <f>3297528500</f>
        <v>3.2975285E9</v>
      </c>
    </row>
    <row r="14" spans="1:15" ht="24.9" customHeight="1">
      <c r="A14" s="38"/>
      <c r="B14" s="62"/>
      <c r="C14" s="20" t="s">
        <v>17</v>
      </c>
      <c r="D14" s="21" t="n">
        <f>15325</f>
        <v>15325.0</v>
      </c>
      <c r="E14" s="36" t="n">
        <f>11035</f>
        <v>11035.0</v>
      </c>
      <c r="F14" s="21" t="n">
        <f>3432</f>
        <v>3432.0</v>
      </c>
      <c r="G14" s="36" t="n">
        <f>1459</f>
        <v>1459.0</v>
      </c>
      <c r="H14" s="21" t="n">
        <f>18757</f>
        <v>18757.0</v>
      </c>
      <c r="I14" s="36" t="n">
        <f>12494</f>
        <v>12494.0</v>
      </c>
      <c r="J14" s="21" t="n">
        <f>9919395470</f>
        <v>9.91939547E9</v>
      </c>
      <c r="K14" s="36" t="n">
        <f>8865646470</f>
        <v>8.86564647E9</v>
      </c>
      <c r="L14" s="21" t="n">
        <f>2157893630</f>
        <v>2.15789363E9</v>
      </c>
      <c r="M14" s="36" t="n">
        <f>1585448630</f>
        <v>1.58544863E9</v>
      </c>
      <c r="N14" s="21" t="n">
        <f>12077289100</f>
        <v>1.20772891E10</v>
      </c>
      <c r="O14" s="36" t="n">
        <f>10451095100</f>
        <v>1.04510951E10</v>
      </c>
    </row>
    <row r="15" spans="1:15" ht="24.9" customHeight="1">
      <c r="A15" s="38"/>
      <c r="B15" s="62"/>
      <c r="C15" s="24" t="s">
        <v>18</v>
      </c>
      <c r="D15" s="25" t="n">
        <f>23398</f>
        <v>23398.0</v>
      </c>
      <c r="E15" s="37" t="n">
        <f>15372</f>
        <v>15372.0</v>
      </c>
      <c r="F15" s="25" t="n">
        <f>8388</f>
        <v>8388.0</v>
      </c>
      <c r="G15" s="37" t="n">
        <f>3124</f>
        <v>3124.0</v>
      </c>
      <c r="H15" s="25" t="n">
        <f>31786</f>
        <v>31786.0</v>
      </c>
      <c r="I15" s="37" t="n">
        <f>18496</f>
        <v>18496.0</v>
      </c>
      <c r="J15" s="25" t="n">
        <f>14399021030</f>
        <v>1.439902103E10</v>
      </c>
      <c r="K15" s="37" t="n">
        <f>12277341030</f>
        <v>1.227734103E10</v>
      </c>
      <c r="L15" s="25" t="n">
        <f>3756184690</f>
        <v>3.75618469E9</v>
      </c>
      <c r="M15" s="37" t="n">
        <f>2517633690</f>
        <v>2.51763369E9</v>
      </c>
      <c r="N15" s="25" t="n">
        <f>18155205720</f>
        <v>1.815520572E10</v>
      </c>
      <c r="O15" s="37" t="n">
        <f>14794974720</f>
        <v>1.479497472E10</v>
      </c>
    </row>
    <row r="16" spans="1:15" ht="24.9" customHeight="1">
      <c r="A16" s="38"/>
      <c r="B16" s="61" t="s">
        <v>105</v>
      </c>
      <c r="C16" s="16" t="s">
        <v>15</v>
      </c>
      <c r="D16" s="17" t="n">
        <f>14583</f>
        <v>14583.0</v>
      </c>
      <c r="E16" s="35" t="n">
        <f>2240</f>
        <v>2240.0</v>
      </c>
      <c r="F16" s="17" t="n">
        <f>11081</f>
        <v>11081.0</v>
      </c>
      <c r="G16" s="35" t="n">
        <f>1120</f>
        <v>1120.0</v>
      </c>
      <c r="H16" s="17" t="n">
        <f>25664</f>
        <v>25664.0</v>
      </c>
      <c r="I16" s="35" t="n">
        <f>3360</f>
        <v>3360.0</v>
      </c>
      <c r="J16" s="17" t="n">
        <f>284808440</f>
        <v>2.8480844E8</v>
      </c>
      <c r="K16" s="35" t="n">
        <f>12378540</f>
        <v>1.237854E7</v>
      </c>
      <c r="L16" s="17" t="n">
        <f>233233150</f>
        <v>2.3323315E8</v>
      </c>
      <c r="M16" s="35" t="n">
        <f>6281950</f>
        <v>6281950.0</v>
      </c>
      <c r="N16" s="17" t="n">
        <f>518041590</f>
        <v>5.1804159E8</v>
      </c>
      <c r="O16" s="35" t="n">
        <f>18660490</f>
        <v>1.866049E7</v>
      </c>
    </row>
    <row r="17" spans="1:15" ht="24.9" customHeight="1">
      <c r="A17" s="38"/>
      <c r="B17" s="62"/>
      <c r="C17" s="20" t="s">
        <v>16</v>
      </c>
      <c r="D17" s="21" t="n">
        <f>10374</f>
        <v>10374.0</v>
      </c>
      <c r="E17" s="36" t="n">
        <f>1240</f>
        <v>1240.0</v>
      </c>
      <c r="F17" s="21" t="n">
        <f>6605</f>
        <v>6605.0</v>
      </c>
      <c r="G17" s="36" t="n">
        <f>240</f>
        <v>240.0</v>
      </c>
      <c r="H17" s="21" t="n">
        <f>16979</f>
        <v>16979.0</v>
      </c>
      <c r="I17" s="36" t="n">
        <f>1480</f>
        <v>1480.0</v>
      </c>
      <c r="J17" s="21" t="n">
        <f>227763900</f>
        <v>2.277639E8</v>
      </c>
      <c r="K17" s="36" t="n">
        <f>7671300</f>
        <v>7671300.0</v>
      </c>
      <c r="L17" s="21" t="n">
        <f>106688580</f>
        <v>1.0668858E8</v>
      </c>
      <c r="M17" s="36" t="n">
        <f>674580</f>
        <v>674580.0</v>
      </c>
      <c r="N17" s="21" t="n">
        <f>334452480</f>
        <v>3.3445248E8</v>
      </c>
      <c r="O17" s="36" t="n">
        <f>8345880</f>
        <v>8345880.0</v>
      </c>
    </row>
    <row r="18" spans="1:15" ht="24.9" customHeight="1">
      <c r="A18" s="38"/>
      <c r="B18" s="62"/>
      <c r="C18" s="20" t="s">
        <v>17</v>
      </c>
      <c r="D18" s="21" t="n">
        <f>14894</f>
        <v>14894.0</v>
      </c>
      <c r="E18" s="36" t="n">
        <f>910</f>
        <v>910.0</v>
      </c>
      <c r="F18" s="21" t="n">
        <f>8284</f>
        <v>8284.0</v>
      </c>
      <c r="G18" s="36" t="n">
        <f>560</f>
        <v>560.0</v>
      </c>
      <c r="H18" s="21" t="n">
        <f>23178</f>
        <v>23178.0</v>
      </c>
      <c r="I18" s="36" t="n">
        <f>1470</f>
        <v>1470.0</v>
      </c>
      <c r="J18" s="21" t="n">
        <f>348625930</f>
        <v>3.4862593E8</v>
      </c>
      <c r="K18" s="36" t="n">
        <f>2398830</f>
        <v>2398830.0</v>
      </c>
      <c r="L18" s="21" t="n">
        <f>120447450</f>
        <v>1.2044745E8</v>
      </c>
      <c r="M18" s="36" t="n">
        <f>2726550</f>
        <v>2726550.0</v>
      </c>
      <c r="N18" s="21" t="n">
        <f>469073380</f>
        <v>4.6907338E8</v>
      </c>
      <c r="O18" s="36" t="n">
        <f>5125380</f>
        <v>5125380.0</v>
      </c>
    </row>
    <row r="19" spans="1:15" ht="24.9" customHeight="1">
      <c r="A19" s="38"/>
      <c r="B19" s="62"/>
      <c r="C19" s="24" t="s">
        <v>18</v>
      </c>
      <c r="D19" s="25" t="n">
        <f>39851</f>
        <v>39851.0</v>
      </c>
      <c r="E19" s="37" t="n">
        <f>4390</f>
        <v>4390.0</v>
      </c>
      <c r="F19" s="25" t="n">
        <f>25970</f>
        <v>25970.0</v>
      </c>
      <c r="G19" s="37" t="n">
        <f>1920</f>
        <v>1920.0</v>
      </c>
      <c r="H19" s="25" t="n">
        <f>65821</f>
        <v>65821.0</v>
      </c>
      <c r="I19" s="37" t="n">
        <f>6310</f>
        <v>6310.0</v>
      </c>
      <c r="J19" s="25" t="n">
        <f>861198270</f>
        <v>8.6119827E8</v>
      </c>
      <c r="K19" s="37" t="n">
        <f>22448670</f>
        <v>2.244867E7</v>
      </c>
      <c r="L19" s="25" t="n">
        <f>460369180</f>
        <v>4.6036918E8</v>
      </c>
      <c r="M19" s="37" t="n">
        <f>9683080</f>
        <v>9683080.0</v>
      </c>
      <c r="N19" s="25" t="n">
        <f>1321567450</f>
        <v>1.32156745E9</v>
      </c>
      <c r="O19" s="37" t="n">
        <f>32131750</f>
        <v>3.213175E7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0</f>
        <v>0.0</v>
      </c>
      <c r="G20" s="35" t="n">
        <f>0</f>
        <v>0.0</v>
      </c>
      <c r="H20" s="17" t="n">
        <f>100</f>
        <v>100.0</v>
      </c>
      <c r="I20" s="35" t="n">
        <f>100</f>
        <v>100.0</v>
      </c>
      <c r="J20" s="17" t="n">
        <f>145000000</f>
        <v>1.45E8</v>
      </c>
      <c r="K20" s="35" t="n">
        <f>145000000</f>
        <v>1.45E8</v>
      </c>
      <c r="L20" s="17" t="n">
        <f>0</f>
        <v>0.0</v>
      </c>
      <c r="M20" s="35" t="n">
        <f>0</f>
        <v>0.0</v>
      </c>
      <c r="N20" s="17" t="n">
        <f>145000000</f>
        <v>1.45E8</v>
      </c>
      <c r="O20" s="35" t="n">
        <f>145000000</f>
        <v>1.45E8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0</f>
        <v>0.0</v>
      </c>
      <c r="G21" s="36" t="n">
        <f>0</f>
        <v>0.0</v>
      </c>
      <c r="H21" s="21" t="n">
        <f>100</f>
        <v>100.0</v>
      </c>
      <c r="I21" s="36" t="n">
        <f>100</f>
        <v>100.0</v>
      </c>
      <c r="J21" s="21" t="n">
        <f>91000000</f>
        <v>9.1E7</v>
      </c>
      <c r="K21" s="36" t="n">
        <f>91000000</f>
        <v>9.1E7</v>
      </c>
      <c r="L21" s="21" t="n">
        <f>0</f>
        <v>0.0</v>
      </c>
      <c r="M21" s="36" t="n">
        <f>0</f>
        <v>0.0</v>
      </c>
      <c r="N21" s="21" t="n">
        <f>91000000</f>
        <v>9.1E7</v>
      </c>
      <c r="O21" s="36" t="n">
        <f>91000000</f>
        <v>9.1E7</v>
      </c>
    </row>
    <row r="22" spans="1:15" ht="24.9" customHeight="1">
      <c r="A22" s="38"/>
      <c r="B22" s="62"/>
      <c r="C22" s="20" t="s">
        <v>17</v>
      </c>
      <c r="D22" s="21" t="n">
        <f>1380</f>
        <v>1380.0</v>
      </c>
      <c r="E22" s="36" t="n">
        <f>1380</f>
        <v>1380.0</v>
      </c>
      <c r="F22" s="21" t="n">
        <f>0</f>
        <v>0.0</v>
      </c>
      <c r="G22" s="36" t="n">
        <f>0</f>
        <v>0.0</v>
      </c>
      <c r="H22" s="21" t="n">
        <f>1380</f>
        <v>1380.0</v>
      </c>
      <c r="I22" s="36" t="n">
        <f>1380</f>
        <v>1380.0</v>
      </c>
      <c r="J22" s="21" t="n">
        <f>1270538000</f>
        <v>1.270538E9</v>
      </c>
      <c r="K22" s="36" t="n">
        <f>1270538000</f>
        <v>1.270538E9</v>
      </c>
      <c r="L22" s="21" t="n">
        <f>0</f>
        <v>0.0</v>
      </c>
      <c r="M22" s="36" t="n">
        <f>0</f>
        <v>0.0</v>
      </c>
      <c r="N22" s="21" t="n">
        <f>1270538000</f>
        <v>1.270538E9</v>
      </c>
      <c r="O22" s="36" t="n">
        <f>1270538000</f>
        <v>1.270538E9</v>
      </c>
    </row>
    <row r="23" spans="1:15" ht="24.9" customHeight="1">
      <c r="A23" s="38"/>
      <c r="B23" s="62"/>
      <c r="C23" s="24" t="s">
        <v>18</v>
      </c>
      <c r="D23" s="25" t="n">
        <f>1580</f>
        <v>1580.0</v>
      </c>
      <c r="E23" s="37" t="n">
        <f>1580</f>
        <v>1580.0</v>
      </c>
      <c r="F23" s="25" t="n">
        <f>0</f>
        <v>0.0</v>
      </c>
      <c r="G23" s="37" t="n">
        <f>0</f>
        <v>0.0</v>
      </c>
      <c r="H23" s="25" t="n">
        <f>1580</f>
        <v>1580.0</v>
      </c>
      <c r="I23" s="37" t="n">
        <f>1580</f>
        <v>1580.0</v>
      </c>
      <c r="J23" s="25" t="n">
        <f>1506538000</f>
        <v>1.506538E9</v>
      </c>
      <c r="K23" s="37" t="n">
        <f>1506538000</f>
        <v>1.506538E9</v>
      </c>
      <c r="L23" s="25" t="n">
        <f>0</f>
        <v>0.0</v>
      </c>
      <c r="M23" s="37" t="n">
        <f>0</f>
        <v>0.0</v>
      </c>
      <c r="N23" s="25" t="n">
        <f>1506538000</f>
        <v>1.506538E9</v>
      </c>
      <c r="O23" s="37" t="n">
        <f>1506538000</f>
        <v>1.506538E9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100</f>
        <v>100.0</v>
      </c>
      <c r="E36" s="18" t="n">
        <f>100</f>
        <v>100.0</v>
      </c>
      <c r="F36" s="17" t="n">
        <f>5</f>
        <v>5.0</v>
      </c>
      <c r="G36" s="18" t="n">
        <f>0</f>
        <v>0.0</v>
      </c>
      <c r="H36" s="17" t="n">
        <f>105</f>
        <v>105.0</v>
      </c>
      <c r="I36" s="18" t="n">
        <f>100</f>
        <v>100.0</v>
      </c>
      <c r="J36" s="17" t="n">
        <f>26500000</f>
        <v>2.65E7</v>
      </c>
      <c r="K36" s="18" t="n">
        <f>26500000</f>
        <v>2.65E7</v>
      </c>
      <c r="L36" s="17" t="n">
        <f>1020000</f>
        <v>1020000.0</v>
      </c>
      <c r="M36" s="18" t="n">
        <f>0</f>
        <v>0.0</v>
      </c>
      <c r="N36" s="17" t="n">
        <f>27520000</f>
        <v>2.752E7</v>
      </c>
      <c r="O36" s="18" t="n">
        <f>26500000</f>
        <v>2.65E7</v>
      </c>
    </row>
    <row r="37" spans="1:15" ht="24.9" customHeight="1">
      <c r="A37" s="38"/>
      <c r="B37" s="62"/>
      <c r="C37" s="20" t="s">
        <v>16</v>
      </c>
      <c r="D37" s="21" t="n">
        <f>105</f>
        <v>105.0</v>
      </c>
      <c r="E37" s="22" t="n">
        <f>100</f>
        <v>100.0</v>
      </c>
      <c r="F37" s="21" t="n">
        <f>80</f>
        <v>80.0</v>
      </c>
      <c r="G37" s="22" t="n">
        <f>60</f>
        <v>60.0</v>
      </c>
      <c r="H37" s="21" t="n">
        <f>185</f>
        <v>185.0</v>
      </c>
      <c r="I37" s="22" t="n">
        <f>160</f>
        <v>160.0</v>
      </c>
      <c r="J37" s="21" t="n">
        <f>19875000</f>
        <v>1.9875E7</v>
      </c>
      <c r="K37" s="22" t="n">
        <f>18875000</f>
        <v>1.8875E7</v>
      </c>
      <c r="L37" s="21" t="n">
        <f>13560000</f>
        <v>1.356E7</v>
      </c>
      <c r="M37" s="22" t="n">
        <f>9600000</f>
        <v>9600000.0</v>
      </c>
      <c r="N37" s="21" t="n">
        <f>33435000</f>
        <v>3.3435E7</v>
      </c>
      <c r="O37" s="22" t="n">
        <f>28475000</f>
        <v>2.8475E7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31</f>
        <v>31.0</v>
      </c>
      <c r="G38" s="36" t="n">
        <f>0</f>
        <v>0.0</v>
      </c>
      <c r="H38" s="21" t="n">
        <f>31</f>
        <v>31.0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1810000</f>
        <v>1810000.0</v>
      </c>
      <c r="M38" s="36" t="n">
        <f>0</f>
        <v>0.0</v>
      </c>
      <c r="N38" s="21" t="n">
        <f>1810000</f>
        <v>1810000.0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205</f>
        <v>205.0</v>
      </c>
      <c r="E39" s="37" t="n">
        <f>200</f>
        <v>200.0</v>
      </c>
      <c r="F39" s="25" t="n">
        <f>116</f>
        <v>116.0</v>
      </c>
      <c r="G39" s="37" t="n">
        <f>60</f>
        <v>60.0</v>
      </c>
      <c r="H39" s="25" t="n">
        <f>321</f>
        <v>321.0</v>
      </c>
      <c r="I39" s="37" t="n">
        <f>260</f>
        <v>260.0</v>
      </c>
      <c r="J39" s="25" t="n">
        <f>46375000</f>
        <v>4.6375E7</v>
      </c>
      <c r="K39" s="37" t="n">
        <f>45375000</f>
        <v>4.5375E7</v>
      </c>
      <c r="L39" s="25" t="n">
        <f>16390000</f>
        <v>1.639E7</v>
      </c>
      <c r="M39" s="37" t="n">
        <f>9600000</f>
        <v>9600000.0</v>
      </c>
      <c r="N39" s="25" t="n">
        <f>62765000</f>
        <v>6.2765E7</v>
      </c>
      <c r="O39" s="37" t="n">
        <f>54975000</f>
        <v>5.4975E7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1245</f>
        <v>1245.0</v>
      </c>
      <c r="E41" s="36" t="n">
        <f>400</f>
        <v>400.0</v>
      </c>
      <c r="F41" s="21" t="n">
        <f>3826</f>
        <v>3826.0</v>
      </c>
      <c r="G41" s="36" t="n">
        <f>0</f>
        <v>0.0</v>
      </c>
      <c r="H41" s="21" t="n">
        <f>5071</f>
        <v>5071.0</v>
      </c>
      <c r="I41" s="36" t="n">
        <f>400</f>
        <v>400.0</v>
      </c>
      <c r="J41" s="21" t="n">
        <f>18248842</f>
        <v>1.8248842E7</v>
      </c>
      <c r="K41" s="36" t="n">
        <f>1560000</f>
        <v>1560000.0</v>
      </c>
      <c r="L41" s="21" t="n">
        <f>2040737</f>
        <v>2040737.0</v>
      </c>
      <c r="M41" s="36" t="n">
        <f>0</f>
        <v>0.0</v>
      </c>
      <c r="N41" s="21" t="n">
        <f>20289579</f>
        <v>2.0289579E7</v>
      </c>
      <c r="O41" s="36" t="n">
        <f>1560000</f>
        <v>1560000.0</v>
      </c>
    </row>
    <row r="42" spans="1:15" ht="24.9" customHeight="1">
      <c r="A42" s="38"/>
      <c r="B42" s="62"/>
      <c r="C42" s="20" t="s">
        <v>17</v>
      </c>
      <c r="D42" s="21" t="n">
        <f>279</f>
        <v>279.0</v>
      </c>
      <c r="E42" s="36" t="n">
        <f>0</f>
        <v>0.0</v>
      </c>
      <c r="F42" s="21" t="n">
        <f>1629</f>
        <v>1629.0</v>
      </c>
      <c r="G42" s="36" t="n">
        <f>0</f>
        <v>0.0</v>
      </c>
      <c r="H42" s="21" t="n">
        <f>1908</f>
        <v>1908.0</v>
      </c>
      <c r="I42" s="36" t="n">
        <f>0</f>
        <v>0.0</v>
      </c>
      <c r="J42" s="21" t="n">
        <f>2097920</f>
        <v>2097920.0</v>
      </c>
      <c r="K42" s="36" t="n">
        <f>0</f>
        <v>0.0</v>
      </c>
      <c r="L42" s="21" t="n">
        <f>3866162</f>
        <v>3866162.0</v>
      </c>
      <c r="M42" s="36" t="n">
        <f>0</f>
        <v>0.0</v>
      </c>
      <c r="N42" s="21" t="n">
        <f>5964082</f>
        <v>5964082.0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1524</f>
        <v>1524.0</v>
      </c>
      <c r="E43" s="37" t="n">
        <f>400</f>
        <v>400.0</v>
      </c>
      <c r="F43" s="25" t="n">
        <f>5455</f>
        <v>5455.0</v>
      </c>
      <c r="G43" s="37" t="n">
        <f>0</f>
        <v>0.0</v>
      </c>
      <c r="H43" s="25" t="n">
        <f>6979</f>
        <v>6979.0</v>
      </c>
      <c r="I43" s="37" t="n">
        <f>400</f>
        <v>400.0</v>
      </c>
      <c r="J43" s="25" t="n">
        <f>20346762</f>
        <v>2.0346762E7</v>
      </c>
      <c r="K43" s="37" t="n">
        <f>1560000</f>
        <v>1560000.0</v>
      </c>
      <c r="L43" s="25" t="n">
        <f>5906899</f>
        <v>5906899.0</v>
      </c>
      <c r="M43" s="37" t="n">
        <f>0</f>
        <v>0.0</v>
      </c>
      <c r="N43" s="25" t="n">
        <f>26253661</f>
        <v>2.6253661E7</v>
      </c>
      <c r="O43" s="37" t="n">
        <f>1560000</f>
        <v>1560000.0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