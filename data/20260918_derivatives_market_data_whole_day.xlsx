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<sst xmlns="http://schemas.openxmlformats.org/spreadsheetml/2006/main" count="528" uniqueCount="129">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</sst>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DATE(2026,09,18)</f>
        <v>46283.0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DATE(2026,09,18)</f>
        <v>46283.0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596087.0</f>
        <v>596087.0</v>
      </c>
      <c r="E12" s="18" t="n">
        <f>28002.0</f>
        <v>28002.0</v>
      </c>
      <c r="F12" s="19" t="n">
        <f>1.0</f>
        <v>1.0</v>
      </c>
      <c r="G12" s="17" t="n">
        <f>3985097133507.0</f>
        <v>3.985097133507E12</v>
      </c>
      <c r="H12" s="18" t="n">
        <f>219896670382.0</f>
        <v>2.19896670382E11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313320.0</f>
        <v>313320.0</v>
      </c>
      <c r="E13" s="22" t="n">
        <f>14125.0</f>
        <v>14125.0</v>
      </c>
      <c r="F13" s="23" t="n">
        <f>1.0</f>
        <v>1.0</v>
      </c>
      <c r="G13" s="21" t="n">
        <f>3134727918620.0</f>
        <v>3.13472791862E12</v>
      </c>
      <c r="H13" s="22" t="n">
        <f>206443392670.0</f>
        <v>2.0644339267E11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545150.0</f>
        <v>545150.0</v>
      </c>
      <c r="E14" s="22" t="n">
        <f>37665.0</f>
        <v>37665.0</v>
      </c>
      <c r="F14" s="23" t="n">
        <f>1.0</f>
        <v>1.0</v>
      </c>
      <c r="G14" s="21" t="n">
        <f>6277073759858.0</f>
        <v>6.277073759858E12</v>
      </c>
      <c r="H14" s="22" t="n">
        <f>1011381140108.0</f>
        <v>1.011381140108E12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1454557.0</f>
        <v>1454557.0</v>
      </c>
      <c r="E15" s="26" t="n">
        <f>79792.0</f>
        <v>79792.0</v>
      </c>
      <c r="F15" s="27" t="n">
        <f>1.0</f>
        <v>1.0</v>
      </c>
      <c r="G15" s="25" t="n">
        <f>13396898811985.0</f>
        <v>1.3396898811985E13</v>
      </c>
      <c r="H15" s="26" t="n">
        <f>1437721203160.0</f>
        <v>1.43772120316E12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13456.0</f>
        <v>13456.0</v>
      </c>
      <c r="E16" s="18" t="n">
        <f>14.0</f>
        <v>14.0</v>
      </c>
      <c r="F16" s="19" t="n">
        <f>0.023</f>
        <v>0.023</v>
      </c>
      <c r="G16" s="17" t="n">
        <f>1477344924375.0</f>
        <v>1.477344924375E12</v>
      </c>
      <c r="H16" s="18" t="n">
        <f>1752305000.0</f>
        <v>1.752305E9</v>
      </c>
      <c r="I16" s="19" t="n">
        <f>0.371</f>
        <v>0.371</v>
      </c>
    </row>
    <row r="17" spans="1:9" ht="24.9" customHeight="1">
      <c r="A17" s="41"/>
      <c r="B17" s="39"/>
      <c r="C17" s="20" t="s">
        <v>16</v>
      </c>
      <c r="D17" s="21" t="n">
        <f>11920.0</f>
        <v>11920.0</v>
      </c>
      <c r="E17" s="22" t="n">
        <f>562.0</f>
        <v>562.0</v>
      </c>
      <c r="F17" s="23" t="n">
        <f>0.038</f>
        <v>0.038</v>
      </c>
      <c r="G17" s="21" t="n">
        <f>1262858204500.0</f>
        <v>1.2628582045E12</v>
      </c>
      <c r="H17" s="22" t="n">
        <f>70485290000.0</f>
        <v>7.048529E10</v>
      </c>
      <c r="I17" s="23" t="n">
        <f>0.403</f>
        <v>0.403</v>
      </c>
    </row>
    <row r="18" spans="1:9" ht="24.9" customHeight="1">
      <c r="A18" s="41"/>
      <c r="B18" s="39"/>
      <c r="C18" s="20" t="s">
        <v>17</v>
      </c>
      <c r="D18" s="21" t="n">
        <f>18171.0</f>
        <v>18171.0</v>
      </c>
      <c r="E18" s="22" t="n">
        <f>1258.0</f>
        <v>1258.0</v>
      </c>
      <c r="F18" s="23" t="n">
        <f>0.033</f>
        <v>0.033</v>
      </c>
      <c r="G18" s="21" t="n">
        <f>1866316963750.0</f>
        <v>1.86631696375E12</v>
      </c>
      <c r="H18" s="22" t="n">
        <f>157656705000.0</f>
        <v>1.57656705E11</v>
      </c>
      <c r="I18" s="23" t="n">
        <f>0.297</f>
        <v>0.297</v>
      </c>
    </row>
    <row r="19" spans="1:9" ht="24.9" customHeight="1">
      <c r="A19" s="41"/>
      <c r="B19" s="39"/>
      <c r="C19" s="24" t="s">
        <v>18</v>
      </c>
      <c r="D19" s="25" t="n">
        <f>43547.0</f>
        <v>43547.0</v>
      </c>
      <c r="E19" s="26" t="n">
        <f>1834.0</f>
        <v>1834.0</v>
      </c>
      <c r="F19" s="27" t="n">
        <f>0.03</f>
        <v>0.03</v>
      </c>
      <c r="G19" s="25" t="n">
        <f>4606520092625.0</f>
        <v>4.606520092625E12</v>
      </c>
      <c r="H19" s="26" t="n">
        <f>229894300000.0</f>
        <v>2.298943E11</v>
      </c>
      <c r="I19" s="27" t="n">
        <f>0.344</f>
        <v>0.344</v>
      </c>
    </row>
    <row r="20" spans="1:9" ht="24.9" customHeight="1">
      <c r="A20" s="41"/>
      <c r="B20" s="39" t="s">
        <v>21</v>
      </c>
      <c r="C20" s="16" t="s">
        <v>15</v>
      </c>
      <c r="D20" s="17" t="n">
        <f>569969.0</f>
        <v>569969.0</v>
      </c>
      <c r="E20" s="18" t="n">
        <f>27988.0</f>
        <v>27988.0</v>
      </c>
      <c r="F20" s="19" t="n">
        <f>0.956</f>
        <v>0.956</v>
      </c>
      <c r="G20" s="17" t="n">
        <f>2401382763332.0</f>
        <v>2.401382763332E12</v>
      </c>
      <c r="H20" s="18" t="n">
        <f>218144365382.0</f>
        <v>2.18144365382E11</v>
      </c>
      <c r="I20" s="19" t="n">
        <f>0.603</f>
        <v>0.603</v>
      </c>
    </row>
    <row r="21" spans="1:9" ht="24.9" customHeight="1">
      <c r="A21" s="41"/>
      <c r="B21" s="39"/>
      <c r="C21" s="20" t="s">
        <v>16</v>
      </c>
      <c r="D21" s="21" t="n">
        <f>296369.0</f>
        <v>296369.0</v>
      </c>
      <c r="E21" s="22" t="n">
        <f>13563.0</f>
        <v>13563.0</v>
      </c>
      <c r="F21" s="23" t="n">
        <f>0.946</f>
        <v>0.946</v>
      </c>
      <c r="G21" s="21" t="n">
        <f>1831155111670.0</f>
        <v>1.83115511167E12</v>
      </c>
      <c r="H21" s="22" t="n">
        <f>135958102670.0</f>
        <v>1.3595810267E11</v>
      </c>
      <c r="I21" s="23" t="n">
        <f>0.584</f>
        <v>0.584</v>
      </c>
    </row>
    <row r="22" spans="1:9" ht="24.9" customHeight="1">
      <c r="A22" s="41"/>
      <c r="B22" s="39"/>
      <c r="C22" s="20" t="s">
        <v>17</v>
      </c>
      <c r="D22" s="21" t="n">
        <f>514543.0</f>
        <v>514543.0</v>
      </c>
      <c r="E22" s="22" t="n">
        <f>36297.0</f>
        <v>36297.0</v>
      </c>
      <c r="F22" s="23" t="n">
        <f>0.944</f>
        <v>0.944</v>
      </c>
      <c r="G22" s="21" t="n">
        <f>4296820902708.0</f>
        <v>4.296820902708E12</v>
      </c>
      <c r="H22" s="22" t="n">
        <f>853576529108.0</f>
        <v>8.53576529108E11</v>
      </c>
      <c r="I22" s="23" t="n">
        <f>0.685</f>
        <v>0.685</v>
      </c>
    </row>
    <row r="23" spans="1:9" ht="24.9" customHeight="1">
      <c r="A23" s="41"/>
      <c r="B23" s="39"/>
      <c r="C23" s="24" t="s">
        <v>18</v>
      </c>
      <c r="D23" s="25" t="n">
        <f>1380881.0</f>
        <v>1380881.0</v>
      </c>
      <c r="E23" s="26" t="n">
        <f>77848.0</f>
        <v>77848.0</v>
      </c>
      <c r="F23" s="27" t="n">
        <f>0.949</f>
        <v>0.949</v>
      </c>
      <c r="G23" s="25" t="n">
        <f>8529358777710.0</f>
        <v>8.52935877771E12</v>
      </c>
      <c r="H23" s="26" t="n">
        <f>1207678997160.0</f>
        <v>1.20767899716E12</v>
      </c>
      <c r="I23" s="27" t="n">
        <f>0.637</f>
        <v>0.637</v>
      </c>
    </row>
    <row r="24" spans="1:9" ht="24.9" customHeight="1">
      <c r="A24" s="41"/>
      <c r="B24" s="39" t="s">
        <v>22</v>
      </c>
      <c r="C24" s="16" t="s">
        <v>15</v>
      </c>
      <c r="D24" s="17" t="n">
        <f>12465.0</f>
        <v>12465.0</v>
      </c>
      <c r="E24" s="18" t="n">
        <f>0.0</f>
        <v>0.0</v>
      </c>
      <c r="F24" s="19" t="n">
        <f>0.021</f>
        <v>0.021</v>
      </c>
      <c r="G24" s="17" t="n">
        <f>105518761300.0</f>
        <v>1.055187613E11</v>
      </c>
      <c r="H24" s="18" t="n">
        <f>0.0</f>
        <v>0.0</v>
      </c>
      <c r="I24" s="19" t="n">
        <f>0.026</f>
        <v>0.026</v>
      </c>
    </row>
    <row r="25" spans="1:9" ht="24.9" customHeight="1">
      <c r="A25" s="41"/>
      <c r="B25" s="39"/>
      <c r="C25" s="20" t="s">
        <v>16</v>
      </c>
      <c r="D25" s="21" t="n">
        <f>4926.0</f>
        <v>4926.0</v>
      </c>
      <c r="E25" s="22" t="n">
        <f>0.0</f>
        <v>0.0</v>
      </c>
      <c r="F25" s="23" t="n">
        <f>0.016</f>
        <v>0.016</v>
      </c>
      <c r="G25" s="21" t="n">
        <f>40274271950.0</f>
        <v>4.027427195E10</v>
      </c>
      <c r="H25" s="22" t="n">
        <f>0.0</f>
        <v>0.0</v>
      </c>
      <c r="I25" s="23" t="n">
        <f>0.013</f>
        <v>0.013</v>
      </c>
    </row>
    <row r="26" spans="1:9" ht="24.9" customHeight="1">
      <c r="A26" s="41"/>
      <c r="B26" s="39"/>
      <c r="C26" s="20" t="s">
        <v>17</v>
      </c>
      <c r="D26" s="21" t="n">
        <f>11161.0</f>
        <v>11161.0</v>
      </c>
      <c r="E26" s="22" t="n">
        <f>50.0</f>
        <v>50.0</v>
      </c>
      <c r="F26" s="23" t="n">
        <f>0.02</f>
        <v>0.02</v>
      </c>
      <c r="G26" s="21" t="n">
        <f>108714579400.0</f>
        <v>1.087145794E11</v>
      </c>
      <c r="H26" s="22" t="n">
        <f>115650000.0</f>
        <v>1.1565E8</v>
      </c>
      <c r="I26" s="23" t="n">
        <f>0.017</f>
        <v>0.017</v>
      </c>
    </row>
    <row r="27" spans="1:9" ht="24.9" customHeight="1">
      <c r="A27" s="42"/>
      <c r="B27" s="39"/>
      <c r="C27" s="24" t="s">
        <v>18</v>
      </c>
      <c r="D27" s="25" t="n">
        <f>28552.0</f>
        <v>28552.0</v>
      </c>
      <c r="E27" s="26" t="n">
        <f>50.0</f>
        <v>50.0</v>
      </c>
      <c r="F27" s="27" t="n">
        <f>0.02</f>
        <v>0.02</v>
      </c>
      <c r="G27" s="25" t="n">
        <f>254507612650.0</f>
        <v>2.5450761265E11</v>
      </c>
      <c r="H27" s="26" t="n">
        <f>115650000.0</f>
        <v>1.1565E8</v>
      </c>
      <c r="I27" s="27" t="n">
        <f>0.019</f>
        <v>0.019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197.0</f>
        <v>197.0</v>
      </c>
      <c r="E28" s="18" t="n">
        <f>0.0</f>
        <v>0.0</v>
      </c>
      <c r="F28" s="19" t="n">
        <f>0.0</f>
        <v>0.0</v>
      </c>
      <c r="G28" s="17" t="n">
        <f>850684500.0</f>
        <v>8.506845E8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105.0</f>
        <v>105.0</v>
      </c>
      <c r="E29" s="22" t="n">
        <f>0.0</f>
        <v>0.0</v>
      </c>
      <c r="F29" s="23" t="n">
        <f>0.0</f>
        <v>0.0</v>
      </c>
      <c r="G29" s="21" t="n">
        <f>440330500.0</f>
        <v>4.403305E8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1275.0</f>
        <v>1275.0</v>
      </c>
      <c r="E30" s="22" t="n">
        <f>60.0</f>
        <v>60.0</v>
      </c>
      <c r="F30" s="23" t="n">
        <f>0.002</f>
        <v>0.002</v>
      </c>
      <c r="G30" s="21" t="n">
        <f>5221314000.0</f>
        <v>5.221314E9</v>
      </c>
      <c r="H30" s="22" t="n">
        <f>32256000.0</f>
        <v>3.2256E7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1577.0</f>
        <v>1577.0</v>
      </c>
      <c r="E31" s="26" t="n">
        <f>60.0</f>
        <v>60.0</v>
      </c>
      <c r="F31" s="27" t="n">
        <f>0.001</f>
        <v>0.001</v>
      </c>
      <c r="G31" s="25" t="n">
        <f>6512329000.0</f>
        <v>6.512329E9</v>
      </c>
      <c r="H31" s="26" t="n">
        <f>32256000.0</f>
        <v>3.2256E7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46283.0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46283.0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18429</f>
        <v>18429.0</v>
      </c>
      <c r="E11" s="18" t="n">
        <f>2581</f>
        <v>2581.0</v>
      </c>
      <c r="F11" s="19" t="n">
        <f>1</f>
        <v>1.0</v>
      </c>
      <c r="G11" s="17" t="n">
        <f>2336596360</f>
        <v>2.33659636E9</v>
      </c>
      <c r="H11" s="18" t="n">
        <f>799134260</f>
        <v>7.9913426E8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13615</f>
        <v>13615.0</v>
      </c>
      <c r="E12" s="22" t="n">
        <f>3392</f>
        <v>3392.0</v>
      </c>
      <c r="F12" s="23" t="n">
        <f>1</f>
        <v>1.0</v>
      </c>
      <c r="G12" s="21" t="n">
        <f>4868465506</f>
        <v>4.868465506E9</v>
      </c>
      <c r="H12" s="22" t="n">
        <f>3905275096</f>
        <v>3.905275096E9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41749</f>
        <v>41749.0</v>
      </c>
      <c r="E13" s="22" t="n">
        <f>17974</f>
        <v>17974.0</v>
      </c>
      <c r="F13" s="23" t="n">
        <f>1</f>
        <v>1.0</v>
      </c>
      <c r="G13" s="21" t="n">
        <f>16278658182</f>
        <v>1.6278658182E10</v>
      </c>
      <c r="H13" s="22" t="n">
        <f>13614191060</f>
        <v>1.361419106E10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73793</f>
        <v>73793.0</v>
      </c>
      <c r="E14" s="26" t="n">
        <f>23947</f>
        <v>23947.0</v>
      </c>
      <c r="F14" s="27" t="n">
        <f>1</f>
        <v>1.0</v>
      </c>
      <c r="G14" s="25" t="n">
        <f>23483720048</f>
        <v>2.3483720048E10</v>
      </c>
      <c r="H14" s="26" t="n">
        <f>18318600416</f>
        <v>1.8318600416E10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419</f>
        <v>419.0</v>
      </c>
      <c r="E16" s="22" t="n">
        <f>160</f>
        <v>160.0</v>
      </c>
      <c r="F16" s="23" t="n">
        <f>0.031</f>
        <v>0.031</v>
      </c>
      <c r="G16" s="21" t="n">
        <f>106230000</f>
        <v>1.0623E8</v>
      </c>
      <c r="H16" s="22" t="n">
        <f>51200000</f>
        <v>5.12E7</v>
      </c>
      <c r="I16" s="23" t="n">
        <f>0.022</f>
        <v>0.022</v>
      </c>
    </row>
    <row r="17" spans="1:9" ht="24.9" customHeight="1">
      <c r="A17" s="41"/>
      <c r="B17" s="39"/>
      <c r="C17" s="20" t="s">
        <v>17</v>
      </c>
      <c r="D17" s="21" t="n">
        <f>215</f>
        <v>215.0</v>
      </c>
      <c r="E17" s="22" t="n">
        <f>20</f>
        <v>20.0</v>
      </c>
      <c r="F17" s="23" t="n">
        <f>0.005</f>
        <v>0.005</v>
      </c>
      <c r="G17" s="21" t="n">
        <f>29400000</f>
        <v>2.94E7</v>
      </c>
      <c r="H17" s="22" t="n">
        <f>6400000</f>
        <v>6400000.0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634</f>
        <v>634.0</v>
      </c>
      <c r="E18" s="26" t="n">
        <f>180</f>
        <v>180.0</v>
      </c>
      <c r="F18" s="27" t="n">
        <f>0.009</f>
        <v>0.009</v>
      </c>
      <c r="G18" s="25" t="n">
        <f>135630000</f>
        <v>1.3563E8</v>
      </c>
      <c r="H18" s="26" t="n">
        <f>57600000</f>
        <v>5.76E7</v>
      </c>
      <c r="I18" s="27" t="n">
        <f>0.006</f>
        <v>0.006</v>
      </c>
    </row>
    <row r="19" spans="1:9" ht="24.9" customHeight="1">
      <c r="A19" s="41"/>
      <c r="B19" s="39" t="s">
        <v>31</v>
      </c>
      <c r="C19" s="16" t="s">
        <v>15</v>
      </c>
      <c r="D19" s="17" t="n">
        <f>18429</f>
        <v>18429.0</v>
      </c>
      <c r="E19" s="18" t="n">
        <f>2581</f>
        <v>2581.0</v>
      </c>
      <c r="F19" s="19" t="n">
        <f>1</f>
        <v>1.0</v>
      </c>
      <c r="G19" s="17" t="n">
        <f>2336596360</f>
        <v>2.33659636E9</v>
      </c>
      <c r="H19" s="18" t="n">
        <f>799134260</f>
        <v>7.9913426E8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12623</f>
        <v>12623.0</v>
      </c>
      <c r="E20" s="22" t="n">
        <f>3232</f>
        <v>3232.0</v>
      </c>
      <c r="F20" s="23" t="n">
        <f>0.927</f>
        <v>0.927</v>
      </c>
      <c r="G20" s="21" t="n">
        <f>4753964396</f>
        <v>4.753964396E9</v>
      </c>
      <c r="H20" s="22" t="n">
        <f>3854075096</f>
        <v>3.854075096E9</v>
      </c>
      <c r="I20" s="23" t="n">
        <f>0.976</f>
        <v>0.976</v>
      </c>
    </row>
    <row r="21" spans="1:9" ht="24.9" customHeight="1">
      <c r="A21" s="41"/>
      <c r="B21" s="39"/>
      <c r="C21" s="20" t="s">
        <v>17</v>
      </c>
      <c r="D21" s="21" t="n">
        <f>39494</f>
        <v>39494.0</v>
      </c>
      <c r="E21" s="22" t="n">
        <f>17854</f>
        <v>17854.0</v>
      </c>
      <c r="F21" s="23" t="n">
        <f>0.946</f>
        <v>0.946</v>
      </c>
      <c r="G21" s="21" t="n">
        <f>16215880660</f>
        <v>1.621588066E10</v>
      </c>
      <c r="H21" s="22" t="n">
        <f>13607186060</f>
        <v>1.360718606E10</v>
      </c>
      <c r="I21" s="23" t="n">
        <f>0.996</f>
        <v>0.996</v>
      </c>
    </row>
    <row r="22" spans="1:9" ht="24.9" customHeight="1">
      <c r="A22" s="41"/>
      <c r="B22" s="39"/>
      <c r="C22" s="24" t="s">
        <v>18</v>
      </c>
      <c r="D22" s="25" t="n">
        <f>70546</f>
        <v>70546.0</v>
      </c>
      <c r="E22" s="26" t="n">
        <f>23667</f>
        <v>23667.0</v>
      </c>
      <c r="F22" s="27" t="n">
        <f>0.956</f>
        <v>0.956</v>
      </c>
      <c r="G22" s="25" t="n">
        <f>23306441416</f>
        <v>2.3306441416E10</v>
      </c>
      <c r="H22" s="26" t="n">
        <f>18260395416</f>
        <v>1.8260395416E10</v>
      </c>
      <c r="I22" s="27" t="n">
        <f>0.992</f>
        <v>0.992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573</f>
        <v>573.0</v>
      </c>
      <c r="E24" s="22" t="n">
        <f>0</f>
        <v>0.0</v>
      </c>
      <c r="F24" s="23" t="n">
        <f>0.042</f>
        <v>0.042</v>
      </c>
      <c r="G24" s="21" t="n">
        <f>8271110</f>
        <v>8271110.0</v>
      </c>
      <c r="H24" s="22" t="n">
        <f>0</f>
        <v>0.0</v>
      </c>
      <c r="I24" s="23" t="n">
        <f>0.002</f>
        <v>0.002</v>
      </c>
    </row>
    <row r="25" spans="1:9" ht="24.9" customHeight="1">
      <c r="A25" s="41"/>
      <c r="B25" s="39"/>
      <c r="C25" s="20" t="s">
        <v>17</v>
      </c>
      <c r="D25" s="21" t="n">
        <f>2040</f>
        <v>2040.0</v>
      </c>
      <c r="E25" s="22" t="n">
        <f>100</f>
        <v>100.0</v>
      </c>
      <c r="F25" s="23" t="n">
        <f>0.049</f>
        <v>0.049</v>
      </c>
      <c r="G25" s="21" t="n">
        <f>33377522</f>
        <v>3.3377522E7</v>
      </c>
      <c r="H25" s="22" t="n">
        <f>605000</f>
        <v>605000.0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2613</f>
        <v>2613.0</v>
      </c>
      <c r="E26" s="26" t="n">
        <f>100</f>
        <v>100.0</v>
      </c>
      <c r="F26" s="27" t="n">
        <f>0.035</f>
        <v>0.035</v>
      </c>
      <c r="G26" s="25" t="n">
        <f>41648632</f>
        <v>4.1648632E7</v>
      </c>
      <c r="H26" s="26" t="n">
        <f>605000</f>
        <v>605000.0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46283.0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46283.0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6616.0</v>
      </c>
      <c r="F12" s="18" t="n">
        <f>437</f>
        <v>437.0</v>
      </c>
      <c r="G12" s="17" t="n">
        <v>4.276199184E11</v>
      </c>
      <c r="H12" s="18" t="n">
        <f>28231408400</f>
        <v>2.82314084E10</v>
      </c>
    </row>
    <row r="13" spans="1:8" ht="24.9" customHeight="1">
      <c r="A13" s="51"/>
      <c r="B13" s="57"/>
      <c r="C13" s="39"/>
      <c r="D13" s="20" t="s">
        <v>16</v>
      </c>
      <c r="E13" s="21" t="n">
        <v>6812.0</v>
      </c>
      <c r="F13" s="22" t="n">
        <f>745</f>
        <v>745.0</v>
      </c>
      <c r="G13" s="21" t="n">
        <v>4.396987692E11</v>
      </c>
      <c r="H13" s="22" t="n">
        <f>48122198200</f>
        <v>4.81221982E10</v>
      </c>
    </row>
    <row r="14" spans="1:8" ht="24.9" customHeight="1">
      <c r="A14" s="51"/>
      <c r="B14" s="57"/>
      <c r="C14" s="39"/>
      <c r="D14" s="20" t="s">
        <v>17</v>
      </c>
      <c r="E14" s="21" t="n">
        <v>17978.0</v>
      </c>
      <c r="F14" s="22" t="n">
        <f>4439</f>
        <v>4439.0</v>
      </c>
      <c r="G14" s="21" t="n">
        <v>1.16811390601E12</v>
      </c>
      <c r="H14" s="22" t="n">
        <f>287835526010</f>
        <v>2.8783552601E11</v>
      </c>
    </row>
    <row r="15" spans="1:8" ht="24.9" customHeight="1">
      <c r="A15" s="51"/>
      <c r="B15" s="57"/>
      <c r="C15" s="39"/>
      <c r="D15" s="24" t="s">
        <v>18</v>
      </c>
      <c r="E15" s="25" t="n">
        <v>31406.0</v>
      </c>
      <c r="F15" s="26" t="n">
        <f>5621</f>
        <v>5621.0</v>
      </c>
      <c r="G15" s="25" t="n">
        <v>2.03543259361E12</v>
      </c>
      <c r="H15" s="26" t="n">
        <f>364189132610</f>
        <v>3.6418913261E11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196664.0</v>
      </c>
      <c r="F16" s="18" t="n">
        <f>26629</f>
        <v>26629.0</v>
      </c>
      <c r="G16" s="17" t="n">
        <v>1.271391108802E12</v>
      </c>
      <c r="H16" s="18" t="n">
        <f>172128492302</f>
        <v>1.72128492302E11</v>
      </c>
    </row>
    <row r="17" spans="1:8" ht="24.9" customHeight="1">
      <c r="A17" s="51"/>
      <c r="B17" s="57"/>
      <c r="C17" s="39"/>
      <c r="D17" s="20" t="s">
        <v>16</v>
      </c>
      <c r="E17" s="21" t="n">
        <v>111798.0</v>
      </c>
      <c r="F17" s="22" t="n">
        <f>12375</f>
        <v>12375.0</v>
      </c>
      <c r="G17" s="21" t="n">
        <v>7.2131446365E11</v>
      </c>
      <c r="H17" s="22" t="n">
        <f>79825292150</f>
        <v>7.982529215E10</v>
      </c>
    </row>
    <row r="18" spans="1:8" ht="24.9" customHeight="1">
      <c r="A18" s="51"/>
      <c r="B18" s="57"/>
      <c r="C18" s="39"/>
      <c r="D18" s="20" t="s">
        <v>17</v>
      </c>
      <c r="E18" s="21" t="n">
        <v>193358.0</v>
      </c>
      <c r="F18" s="22" t="n">
        <f>20573</f>
        <v>20573.0</v>
      </c>
      <c r="G18" s="21" t="n">
        <v>1.256647888838E12</v>
      </c>
      <c r="H18" s="22" t="n">
        <f>133695816338</f>
        <v>1.33695816338E11</v>
      </c>
    </row>
    <row r="19" spans="1:8" ht="24.9" customHeight="1">
      <c r="A19" s="51"/>
      <c r="B19" s="57"/>
      <c r="C19" s="39"/>
      <c r="D19" s="24" t="s">
        <v>18</v>
      </c>
      <c r="E19" s="25" t="n">
        <v>501820.0</v>
      </c>
      <c r="F19" s="26" t="n">
        <f>59577</f>
        <v>59577.0</v>
      </c>
      <c r="G19" s="25" t="n">
        <v>3.24935346129E12</v>
      </c>
      <c r="H19" s="26" t="n">
        <f>385649600790</f>
        <v>3.8564960079E11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348668.0</v>
      </c>
      <c r="F20" s="18" t="str">
        <f>"－"</f>
        <v>－</v>
      </c>
      <c r="G20" s="17" t="n">
        <v>2.254414516E11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156839.0</v>
      </c>
      <c r="F21" s="22" t="str">
        <f>"－"</f>
        <v>－</v>
      </c>
      <c r="G21" s="21" t="n">
        <v>1.011837591E11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248283.0</v>
      </c>
      <c r="F22" s="22" t="str">
        <f>"－"</f>
        <v>－</v>
      </c>
      <c r="G22" s="21" t="n">
        <v>1.6136917E11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753790.0</v>
      </c>
      <c r="F23" s="26" t="str">
        <f>"－"</f>
        <v>－</v>
      </c>
      <c r="G23" s="25" t="n">
        <v>4.879943807E11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10995.0</v>
      </c>
      <c r="F24" s="18" t="n">
        <f>391</f>
        <v>391.0</v>
      </c>
      <c r="G24" s="17" t="n">
        <v>4.50241596E11</v>
      </c>
      <c r="H24" s="18" t="n">
        <f>15930316000</f>
        <v>1.5930316E10</v>
      </c>
    </row>
    <row r="25" spans="1:8" ht="24.9" customHeight="1">
      <c r="A25" s="51"/>
      <c r="B25" s="57"/>
      <c r="C25" s="39"/>
      <c r="D25" s="20" t="s">
        <v>16</v>
      </c>
      <c r="E25" s="21" t="n">
        <v>13343.0</v>
      </c>
      <c r="F25" s="22" t="n">
        <f>172</f>
        <v>172.0</v>
      </c>
      <c r="G25" s="21" t="n">
        <v>5.42294813E11</v>
      </c>
      <c r="H25" s="22" t="n">
        <f>6992828000</f>
        <v>6.992828E9</v>
      </c>
    </row>
    <row r="26" spans="1:8" ht="24.9" customHeight="1">
      <c r="A26" s="51"/>
      <c r="B26" s="57"/>
      <c r="C26" s="39"/>
      <c r="D26" s="20" t="s">
        <v>17</v>
      </c>
      <c r="E26" s="21" t="n">
        <v>40782.0</v>
      </c>
      <c r="F26" s="22" t="n">
        <f>10578</f>
        <v>10578.0</v>
      </c>
      <c r="G26" s="21" t="n">
        <v>1.6598975345E12</v>
      </c>
      <c r="H26" s="22" t="n">
        <f>430119189500</f>
        <v>4.301191895E11</v>
      </c>
    </row>
    <row r="27" spans="1:8" ht="24.9" customHeight="1">
      <c r="A27" s="51"/>
      <c r="B27" s="57"/>
      <c r="C27" s="39"/>
      <c r="D27" s="24" t="s">
        <v>18</v>
      </c>
      <c r="E27" s="25" t="n">
        <v>65120.0</v>
      </c>
      <c r="F27" s="26" t="n">
        <f>11141</f>
        <v>11141.0</v>
      </c>
      <c r="G27" s="25" t="n">
        <v>2.6524339435E12</v>
      </c>
      <c r="H27" s="26" t="n">
        <f>453042333500</f>
        <v>4.530423335E11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5847.0</v>
      </c>
      <c r="F28" s="18" t="n">
        <f>394</f>
        <v>394.0</v>
      </c>
      <c r="G28" s="17" t="n">
        <v>2.394831975E10</v>
      </c>
      <c r="H28" s="18" t="n">
        <f>1613952000</f>
        <v>1.613952E9</v>
      </c>
    </row>
    <row r="29" spans="1:8" ht="24.9" customHeight="1">
      <c r="A29" s="51"/>
      <c r="B29" s="57"/>
      <c r="C29" s="39"/>
      <c r="D29" s="20" t="s">
        <v>16</v>
      </c>
      <c r="E29" s="21" t="n">
        <v>5624.0</v>
      </c>
      <c r="F29" s="22" t="n">
        <f>241</f>
        <v>241.0</v>
      </c>
      <c r="G29" s="21" t="n">
        <v>2.287768205E10</v>
      </c>
      <c r="H29" s="22" t="n">
        <f>979914550</f>
        <v>9.7991455E8</v>
      </c>
    </row>
    <row r="30" spans="1:8" ht="24.9" customHeight="1">
      <c r="A30" s="51"/>
      <c r="B30" s="57"/>
      <c r="C30" s="39"/>
      <c r="D30" s="20" t="s">
        <v>17</v>
      </c>
      <c r="E30" s="21" t="n">
        <v>10787.0</v>
      </c>
      <c r="F30" s="22" t="n">
        <f>306</f>
        <v>306.0</v>
      </c>
      <c r="G30" s="21" t="n">
        <v>4.391759079E10</v>
      </c>
      <c r="H30" s="22" t="n">
        <f>1245631290</f>
        <v>1.24563129E9</v>
      </c>
    </row>
    <row r="31" spans="1:8" ht="24.9" customHeight="1">
      <c r="A31" s="51"/>
      <c r="B31" s="57"/>
      <c r="C31" s="39"/>
      <c r="D31" s="24" t="s">
        <v>18</v>
      </c>
      <c r="E31" s="25" t="n">
        <v>22258.0</v>
      </c>
      <c r="F31" s="26" t="n">
        <f>941</f>
        <v>941.0</v>
      </c>
      <c r="G31" s="25" t="n">
        <v>9.074359259E10</v>
      </c>
      <c r="H31" s="26" t="n">
        <f>3839497840</f>
        <v>3.83949784E9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383.0</v>
      </c>
      <c r="F36" s="18" t="n">
        <f>0</f>
        <v>0.0</v>
      </c>
      <c r="G36" s="17" t="n">
        <v>1.410862E9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699.0</v>
      </c>
      <c r="F37" s="22" t="n">
        <f>5</f>
        <v>5.0</v>
      </c>
      <c r="G37" s="21" t="n">
        <v>2.55244247E9</v>
      </c>
      <c r="H37" s="22" t="n">
        <f>18232470</f>
        <v>1.823247E7</v>
      </c>
    </row>
    <row r="38" spans="1:8" ht="24.9" customHeight="1">
      <c r="A38" s="51"/>
      <c r="B38" s="57"/>
      <c r="C38" s="39"/>
      <c r="D38" s="20" t="s">
        <v>17</v>
      </c>
      <c r="E38" s="21" t="n">
        <v>918.0</v>
      </c>
      <c r="F38" s="22" t="n">
        <f>1</f>
        <v>1.0</v>
      </c>
      <c r="G38" s="21" t="n">
        <v>3.35297999E9</v>
      </c>
      <c r="H38" s="22" t="n">
        <f>3657990</f>
        <v>3657990.0</v>
      </c>
    </row>
    <row r="39" spans="1:8" ht="24.9" customHeight="1">
      <c r="A39" s="51"/>
      <c r="B39" s="57"/>
      <c r="C39" s="39"/>
      <c r="D39" s="24" t="s">
        <v>18</v>
      </c>
      <c r="E39" s="25" t="n">
        <v>2000.0</v>
      </c>
      <c r="F39" s="26" t="n">
        <f>6</f>
        <v>6.0</v>
      </c>
      <c r="G39" s="25" t="n">
        <v>7.31628446E9</v>
      </c>
      <c r="H39" s="26" t="n">
        <f>21890460</f>
        <v>2.189046E7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127.0</v>
      </c>
      <c r="F48" s="18" t="n">
        <f>115</f>
        <v>115.0</v>
      </c>
      <c r="G48" s="17" t="n">
        <v>2.2197018E8</v>
      </c>
      <c r="H48" s="18" t="n">
        <f>201050180</f>
        <v>2.0105018E8</v>
      </c>
    </row>
    <row r="49" spans="1:8" ht="24.9" customHeight="1">
      <c r="A49" s="51"/>
      <c r="B49" s="57"/>
      <c r="C49" s="39"/>
      <c r="D49" s="20" t="s">
        <v>16</v>
      </c>
      <c r="E49" s="21" t="n">
        <v>51.0</v>
      </c>
      <c r="F49" s="22" t="n">
        <f>0</f>
        <v>0.0</v>
      </c>
      <c r="G49" s="21" t="n">
        <v>8.8978E7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467.0</v>
      </c>
      <c r="F50" s="22" t="n">
        <f>387</f>
        <v>387.0</v>
      </c>
      <c r="G50" s="21" t="n">
        <v>8.052201E8</v>
      </c>
      <c r="H50" s="22" t="n">
        <f>666340100</f>
        <v>6.663401E8</v>
      </c>
    </row>
    <row r="51" spans="1:8" ht="24.9" customHeight="1">
      <c r="A51" s="51"/>
      <c r="B51" s="57"/>
      <c r="C51" s="39"/>
      <c r="D51" s="24" t="s">
        <v>18</v>
      </c>
      <c r="E51" s="25" t="n">
        <v>645.0</v>
      </c>
      <c r="F51" s="26" t="n">
        <f>502</f>
        <v>502.0</v>
      </c>
      <c r="G51" s="25" t="n">
        <v>1.11616828E9</v>
      </c>
      <c r="H51" s="26" t="n">
        <f>867390280</f>
        <v>8.6739028E8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413.0</v>
      </c>
      <c r="F56" s="18" t="n">
        <f>17</f>
        <v>17.0</v>
      </c>
      <c r="G56" s="17" t="n">
        <v>3.21377E8</v>
      </c>
      <c r="H56" s="18" t="n">
        <f>13201000</f>
        <v>1.3201E7</v>
      </c>
    </row>
    <row r="57" spans="1:8" ht="24.9" customHeight="1">
      <c r="A57" s="51"/>
      <c r="B57" s="57"/>
      <c r="C57" s="39"/>
      <c r="D57" s="20" t="s">
        <v>16</v>
      </c>
      <c r="E57" s="21" t="n">
        <v>1113.0</v>
      </c>
      <c r="F57" s="22" t="n">
        <f>25</f>
        <v>25.0</v>
      </c>
      <c r="G57" s="21" t="n">
        <v>8.714003E8</v>
      </c>
      <c r="H57" s="22" t="n">
        <f>19637300</f>
        <v>1.96373E7</v>
      </c>
    </row>
    <row r="58" spans="1:8" ht="24.9" customHeight="1">
      <c r="A58" s="51"/>
      <c r="B58" s="57"/>
      <c r="C58" s="39"/>
      <c r="D58" s="20" t="s">
        <v>17</v>
      </c>
      <c r="E58" s="21" t="n">
        <v>1202.0</v>
      </c>
      <c r="F58" s="22" t="n">
        <f>13</f>
        <v>13.0</v>
      </c>
      <c r="G58" s="21" t="n">
        <v>9.5269688E8</v>
      </c>
      <c r="H58" s="22" t="n">
        <f>10367880</f>
        <v>1.036788E7</v>
      </c>
    </row>
    <row r="59" spans="1:8" ht="24.9" customHeight="1">
      <c r="A59" s="51"/>
      <c r="B59" s="57"/>
      <c r="C59" s="39"/>
      <c r="D59" s="24" t="s">
        <v>18</v>
      </c>
      <c r="E59" s="25" t="n">
        <v>2728.0</v>
      </c>
      <c r="F59" s="26" t="n">
        <f>55</f>
        <v>55.0</v>
      </c>
      <c r="G59" s="25" t="n">
        <v>2.14547418E9</v>
      </c>
      <c r="H59" s="26" t="n">
        <f>43206180</f>
        <v>4.320618E7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85.0</v>
      </c>
      <c r="F60" s="18" t="n">
        <f>5</f>
        <v>5.0</v>
      </c>
      <c r="G60" s="17" t="n">
        <v>4.415193E8</v>
      </c>
      <c r="H60" s="18" t="n">
        <f>25945500</f>
        <v>2.59455E7</v>
      </c>
    </row>
    <row r="61" spans="1:8" ht="24.9" customHeight="1">
      <c r="A61" s="51"/>
      <c r="B61" s="57"/>
      <c r="C61" s="39"/>
      <c r="D61" s="20" t="s">
        <v>16</v>
      </c>
      <c r="E61" s="21" t="n">
        <v>39.0</v>
      </c>
      <c r="F61" s="22" t="n">
        <f>0</f>
        <v>0.0</v>
      </c>
      <c r="G61" s="21" t="n">
        <v>2.023673E8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106.0</v>
      </c>
      <c r="F62" s="22" t="n">
        <f>0</f>
        <v>0.0</v>
      </c>
      <c r="G62" s="21" t="n">
        <v>5.501903E8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230.0</v>
      </c>
      <c r="F63" s="26" t="n">
        <f>5</f>
        <v>5.0</v>
      </c>
      <c r="G63" s="25" t="n">
        <v>1.1940769E9</v>
      </c>
      <c r="H63" s="26" t="n">
        <f>25945500</f>
        <v>2.59455E7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7.0</v>
      </c>
      <c r="F77" s="22" t="n">
        <f>0</f>
        <v>0.0</v>
      </c>
      <c r="G77" s="21" t="n">
        <v>2158000.0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9.0</v>
      </c>
      <c r="F78" s="22" t="n">
        <f>0</f>
        <v>0.0</v>
      </c>
      <c r="G78" s="21" t="n">
        <v>2672500.0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16.0</v>
      </c>
      <c r="F79" s="26" t="n">
        <f>0</f>
        <v>0.0</v>
      </c>
      <c r="G79" s="25" t="n">
        <v>4830500.0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67.0</v>
      </c>
      <c r="F92" s="18" t="n">
        <f>0</f>
        <v>0.0</v>
      </c>
      <c r="G92" s="17" t="n">
        <v>1.036203E8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44.0</v>
      </c>
      <c r="F93" s="22" t="n">
        <f>0</f>
        <v>0.0</v>
      </c>
      <c r="G93" s="21" t="n">
        <v>6.82786E7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323.0</v>
      </c>
      <c r="F94" s="22" t="n">
        <f>0</f>
        <v>0.0</v>
      </c>
      <c r="G94" s="21" t="n">
        <v>5.037196E8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434.0</v>
      </c>
      <c r="F95" s="26" t="n">
        <f>0</f>
        <v>0.0</v>
      </c>
      <c r="G95" s="25" t="n">
        <v>6.756185E8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104.0</v>
      </c>
      <c r="F96" s="18" t="n">
        <f>0</f>
        <v>0.0</v>
      </c>
      <c r="G96" s="17" t="n">
        <v>2.4102E8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210.0</v>
      </c>
      <c r="F98" s="22" t="n">
        <f>0</f>
        <v>0.0</v>
      </c>
      <c r="G98" s="21" t="n">
        <v>4.918012E8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314.0</v>
      </c>
      <c r="F99" s="26" t="n">
        <f>0</f>
        <v>0.0</v>
      </c>
      <c r="G99" s="25" t="n">
        <v>7.328212E8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120.0</v>
      </c>
      <c r="F102" s="22" t="n">
        <f>0</f>
        <v>0.0</v>
      </c>
      <c r="G102" s="21" t="n">
        <v>2.15532E8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120.0</v>
      </c>
      <c r="F103" s="26" t="n">
        <f>0</f>
        <v>0.0</v>
      </c>
      <c r="G103" s="25" t="n">
        <v>2.15532E8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11397.0</v>
      </c>
      <c r="F108" s="18" t="n">
        <f>14</f>
        <v>14.0</v>
      </c>
      <c r="G108" s="17" t="n">
        <v>1.426737495E12</v>
      </c>
      <c r="H108" s="18" t="n">
        <f>1752305000</f>
        <v>1.752305E9</v>
      </c>
    </row>
    <row r="109" spans="1:8" ht="24.9" customHeight="1">
      <c r="A109" s="51"/>
      <c r="B109" s="57"/>
      <c r="C109" s="39"/>
      <c r="D109" s="20" t="s">
        <v>16</v>
      </c>
      <c r="E109" s="21" t="n">
        <v>9840.0</v>
      </c>
      <c r="F109" s="22" t="n">
        <f>562</f>
        <v>562.0</v>
      </c>
      <c r="G109" s="21" t="n">
        <v>1.23388111E12</v>
      </c>
      <c r="H109" s="22" t="n">
        <f>70485290000</f>
        <v>7.048529E10</v>
      </c>
    </row>
    <row r="110" spans="1:8" ht="24.9" customHeight="1">
      <c r="A110" s="51"/>
      <c r="B110" s="57"/>
      <c r="C110" s="39"/>
      <c r="D110" s="20" t="s">
        <v>17</v>
      </c>
      <c r="E110" s="21" t="n">
        <v>14329.0</v>
      </c>
      <c r="F110" s="22" t="n">
        <f>1258</f>
        <v>1258.0</v>
      </c>
      <c r="G110" s="21" t="n">
        <v>1.795526775E12</v>
      </c>
      <c r="H110" s="22" t="n">
        <f>157656705000</f>
        <v>1.57656705E11</v>
      </c>
    </row>
    <row r="111" spans="1:8" ht="24.9" customHeight="1">
      <c r="A111" s="51"/>
      <c r="B111" s="57"/>
      <c r="C111" s="39"/>
      <c r="D111" s="24" t="s">
        <v>18</v>
      </c>
      <c r="E111" s="25" t="n">
        <v>35566.0</v>
      </c>
      <c r="F111" s="26" t="n">
        <f>1834</f>
        <v>1834.0</v>
      </c>
      <c r="G111" s="25" t="n">
        <v>4.45614538E12</v>
      </c>
      <c r="H111" s="26" t="n">
        <f>229894300000</f>
        <v>2.298943E11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1840.0</v>
      </c>
      <c r="F113" s="22" t="n">
        <f>0</f>
        <v>0.0</v>
      </c>
      <c r="G113" s="21" t="n">
        <v>2.3070592E10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1507.0</v>
      </c>
      <c r="F114" s="22" t="n">
        <f>0</f>
        <v>0.0</v>
      </c>
      <c r="G114" s="21" t="n">
        <v>1.888242E10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3347.0</v>
      </c>
      <c r="F115" s="26" t="n">
        <f>0</f>
        <v>0.0</v>
      </c>
      <c r="G115" s="25" t="n">
        <v>4.1953012E10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362.0</v>
      </c>
      <c r="F118" s="22" t="n">
        <f>0</f>
        <v>0.0</v>
      </c>
      <c r="G118" s="21" t="n">
        <v>3.20743E9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362.0</v>
      </c>
      <c r="F119" s="26" t="n">
        <f>0</f>
        <v>0.0</v>
      </c>
      <c r="G119" s="25" t="n">
        <v>3.20743E9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2059.0</v>
      </c>
      <c r="F120" s="18" t="n">
        <f>0</f>
        <v>0.0</v>
      </c>
      <c r="G120" s="17" t="n">
        <v>5.0607429375E10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240.0</v>
      </c>
      <c r="F121" s="22" t="n">
        <f>0</f>
        <v>0.0</v>
      </c>
      <c r="G121" s="21" t="n">
        <v>5.9065025E9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1973.0</v>
      </c>
      <c r="F122" s="22" t="n">
        <f>0</f>
        <v>0.0</v>
      </c>
      <c r="G122" s="21" t="n">
        <v>4.870033875E10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4272.0</v>
      </c>
      <c r="F123" s="26" t="n">
        <f>0</f>
        <v>0.0</v>
      </c>
      <c r="G123" s="25" t="n">
        <v>1.05214270625E11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3815.0</v>
      </c>
      <c r="F124" s="18" t="n">
        <f>0</f>
        <v>0.0</v>
      </c>
      <c r="G124" s="17" t="n">
        <v>8.5307572E10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1428.0</v>
      </c>
      <c r="F125" s="22" t="n">
        <f>0</f>
        <v>0.0</v>
      </c>
      <c r="G125" s="21" t="n">
        <v>3.2033518E10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4073.0</v>
      </c>
      <c r="F126" s="22" t="n">
        <f>0</f>
        <v>0.0</v>
      </c>
      <c r="G126" s="21" t="n">
        <v>9.2100734E10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9316.0</v>
      </c>
      <c r="F127" s="26" t="n">
        <f>0</f>
        <v>0.0</v>
      </c>
      <c r="G127" s="25" t="n">
        <v>2.09441824E11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50.0</v>
      </c>
      <c r="F128" s="18" t="n">
        <f>0</f>
        <v>0.0</v>
      </c>
      <c r="G128" s="17" t="n">
        <v>1.099179E8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70.0</v>
      </c>
      <c r="F129" s="22" t="n">
        <f>0</f>
        <v>0.0</v>
      </c>
      <c r="G129" s="21" t="n">
        <v>1.551949E8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149.0</v>
      </c>
      <c r="F130" s="22" t="n">
        <f>0</f>
        <v>0.0</v>
      </c>
      <c r="G130" s="21" t="n">
        <v>3.336324E8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269.0</v>
      </c>
      <c r="F131" s="26" t="n">
        <f>0</f>
        <v>0.0</v>
      </c>
      <c r="G131" s="25" t="n">
        <v>5.987452E8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6527.0</v>
      </c>
      <c r="F132" s="18" t="n">
        <f>0</f>
        <v>0.0</v>
      </c>
      <c r="G132" s="17" t="n">
        <v>1.46199017E10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2200.0</v>
      </c>
      <c r="F133" s="22" t="n">
        <f>0</f>
        <v>0.0</v>
      </c>
      <c r="G133" s="21" t="n">
        <v>4.9467096E9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4353.0</v>
      </c>
      <c r="F134" s="22" t="n">
        <f>0</f>
        <v>0.0</v>
      </c>
      <c r="G134" s="21" t="n">
        <v>9.8639553E9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13080.0</v>
      </c>
      <c r="F135" s="26" t="n">
        <f>0</f>
        <v>0.0</v>
      </c>
      <c r="G135" s="25" t="n">
        <v>2.94305666E10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94.0</v>
      </c>
      <c r="F136" s="18" t="n">
        <f>0</f>
        <v>0.0</v>
      </c>
      <c r="G136" s="17" t="n">
        <v>2.058532E8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42.0</v>
      </c>
      <c r="F137" s="22" t="n">
        <f>0</f>
        <v>0.0</v>
      </c>
      <c r="G137" s="21" t="n">
        <v>9.23181E7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80.0</v>
      </c>
      <c r="F138" s="22" t="n">
        <f>0</f>
        <v>0.0</v>
      </c>
      <c r="G138" s="21" t="n">
        <v>1.766204E8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216.0</v>
      </c>
      <c r="F139" s="26" t="n">
        <f>0</f>
        <v>0.0</v>
      </c>
      <c r="G139" s="25" t="n">
        <v>4.747917E8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951.0</v>
      </c>
      <c r="F144" s="18" t="n">
        <f>0</f>
        <v>0.0</v>
      </c>
      <c r="G144" s="17" t="n">
        <v>4.1671015E9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516.0</v>
      </c>
      <c r="F145" s="22" t="n">
        <f>0</f>
        <v>0.0</v>
      </c>
      <c r="G145" s="21" t="n">
        <v>2.26177E9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990.0</v>
      </c>
      <c r="F146" s="22" t="n">
        <f>0</f>
        <v>0.0</v>
      </c>
      <c r="G146" s="21" t="n">
        <v>4.399448E9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2457.0</v>
      </c>
      <c r="F147" s="26" t="n">
        <f>0</f>
        <v>0.0</v>
      </c>
      <c r="G147" s="25" t="n">
        <v>1.08283195E10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30.0</v>
      </c>
      <c r="F148" s="18" t="n">
        <f>0</f>
        <v>0.0</v>
      </c>
      <c r="G148" s="17" t="n">
        <v>2.6772E7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127.0</v>
      </c>
      <c r="F149" s="22" t="n">
        <f>0</f>
        <v>0.0</v>
      </c>
      <c r="G149" s="21" t="n">
        <v>1.144092E8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348.0</v>
      </c>
      <c r="F150" s="22" t="n">
        <f>0</f>
        <v>0.0</v>
      </c>
      <c r="G150" s="21" t="n">
        <v>3.161453E8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505.0</v>
      </c>
      <c r="F151" s="26" t="n">
        <f>0</f>
        <v>0.0</v>
      </c>
      <c r="G151" s="25" t="n">
        <v>4.573265E8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373.0</v>
      </c>
      <c r="F152" s="18" t="n">
        <f>0</f>
        <v>0.0</v>
      </c>
      <c r="G152" s="17" t="n">
        <v>3.271923E8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130.0</v>
      </c>
      <c r="F153" s="22" t="n">
        <f>0</f>
        <v>0.0</v>
      </c>
      <c r="G153" s="21" t="n">
        <v>1.1414895E8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483.0</v>
      </c>
      <c r="F154" s="22" t="n">
        <f>0</f>
        <v>0.0</v>
      </c>
      <c r="G154" s="21" t="n">
        <v>4.283554E8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986.0</v>
      </c>
      <c r="F155" s="26" t="n">
        <f>0</f>
        <v>0.0</v>
      </c>
      <c r="G155" s="25" t="n">
        <v>8.6969665E8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463.0</v>
      </c>
      <c r="F156" s="18" t="n">
        <f>0</f>
        <v>0.0</v>
      </c>
      <c r="G156" s="17" t="n">
        <v>4.079277E8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260.0</v>
      </c>
      <c r="F157" s="22" t="n">
        <f>0</f>
        <v>0.0</v>
      </c>
      <c r="G157" s="21" t="n">
        <v>2.295582E8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306.0</v>
      </c>
      <c r="F158" s="22" t="n">
        <f>0</f>
        <v>0.0</v>
      </c>
      <c r="G158" s="21" t="n">
        <v>2.731116E8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1029.0</v>
      </c>
      <c r="F159" s="26" t="n">
        <f>0</f>
        <v>0.0</v>
      </c>
      <c r="G159" s="25" t="n">
        <v>9.105975E8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158.0</v>
      </c>
      <c r="F168" s="18" t="n">
        <f>0</f>
        <v>0.0</v>
      </c>
      <c r="G168" s="17" t="n">
        <v>3.38963E8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153.0</v>
      </c>
      <c r="F169" s="22" t="n">
        <f>0</f>
        <v>0.0</v>
      </c>
      <c r="G169" s="21" t="n">
        <v>3.26645E8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379.0</v>
      </c>
      <c r="F170" s="22" t="n">
        <f>50</f>
        <v>50.0</v>
      </c>
      <c r="G170" s="21" t="n">
        <v>8.22577E8</v>
      </c>
      <c r="H170" s="22" t="n">
        <f>115650000</f>
        <v>1.1565E8</v>
      </c>
    </row>
    <row r="171" spans="1:8" ht="24.9" customHeight="1">
      <c r="A171" s="51"/>
      <c r="B171" s="57"/>
      <c r="C171" s="39"/>
      <c r="D171" s="24" t="s">
        <v>18</v>
      </c>
      <c r="E171" s="25" t="n">
        <v>690.0</v>
      </c>
      <c r="F171" s="26" t="n">
        <f>50</f>
        <v>50.0</v>
      </c>
      <c r="G171" s="25" t="n">
        <v>1.488185E9</v>
      </c>
      <c r="H171" s="26" t="n">
        <f>115650000</f>
        <v>1.1565E8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7560000.0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4.0</v>
      </c>
      <c r="F179" s="26" t="n">
        <f>0</f>
        <v>0.0</v>
      </c>
      <c r="G179" s="25" t="n">
        <v>7560000.0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197.0</v>
      </c>
      <c r="F204" s="18" t="n">
        <f>0</f>
        <v>0.0</v>
      </c>
      <c r="G204" s="17" t="n">
        <v>8.506845E8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105.0</v>
      </c>
      <c r="F205" s="22" t="n">
        <f>0</f>
        <v>0.0</v>
      </c>
      <c r="G205" s="21" t="n">
        <v>4.403305E8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1215.0</v>
      </c>
      <c r="F206" s="22" t="n">
        <f>0</f>
        <v>0.0</v>
      </c>
      <c r="G206" s="21" t="n">
        <v>5.189058E9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1517.0</v>
      </c>
      <c r="F207" s="26" t="n">
        <f>0</f>
        <v>0.0</v>
      </c>
      <c r="G207" s="25" t="n">
        <v>6.480073E9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60.0</v>
      </c>
      <c r="F226" s="22" t="n">
        <f>60</f>
        <v>60.0</v>
      </c>
      <c r="G226" s="21" t="n">
        <v>3.2256E7</v>
      </c>
      <c r="H226" s="22" t="n">
        <f>32256000</f>
        <v>3.2256E7</v>
      </c>
    </row>
    <row r="227" spans="1:8" ht="24.9" customHeight="1">
      <c r="A227" s="57"/>
      <c r="B227" s="59"/>
      <c r="C227" s="39"/>
      <c r="D227" s="24" t="s">
        <v>18</v>
      </c>
      <c r="E227" s="25" t="n">
        <v>60.0</v>
      </c>
      <c r="F227" s="26" t="n">
        <f>60</f>
        <v>60.0</v>
      </c>
      <c r="G227" s="25" t="n">
        <v>3.2256E7</v>
      </c>
      <c r="H227" s="26" t="n">
        <f>32256000</f>
        <v>3.2256E7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46283.0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46283.0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3294</f>
        <v>3294.0</v>
      </c>
      <c r="E12" s="35" t="n">
        <f>1362</f>
        <v>1362.0</v>
      </c>
      <c r="F12" s="17" t="n">
        <f>2245</f>
        <v>2245.0</v>
      </c>
      <c r="G12" s="35" t="n">
        <f>169</f>
        <v>169.0</v>
      </c>
      <c r="H12" s="17" t="n">
        <f>5539</f>
        <v>5539.0</v>
      </c>
      <c r="I12" s="35" t="n">
        <f>1531</f>
        <v>1531.0</v>
      </c>
      <c r="J12" s="17" t="n">
        <f>1074027330</f>
        <v>1.07402733E9</v>
      </c>
      <c r="K12" s="35" t="n">
        <f>488696330</f>
        <v>4.8869633E8</v>
      </c>
      <c r="L12" s="17" t="n">
        <f>490257740</f>
        <v>4.9025774E8</v>
      </c>
      <c r="M12" s="35" t="n">
        <f>32488740</f>
        <v>3.248874E7</v>
      </c>
      <c r="N12" s="17" t="n">
        <f>1564285070</f>
        <v>1.56428507E9</v>
      </c>
      <c r="O12" s="35" t="n">
        <f>521185070</f>
        <v>5.2118507E8</v>
      </c>
    </row>
    <row r="13" spans="1:15" ht="24.9" customHeight="1">
      <c r="A13" s="38"/>
      <c r="B13" s="62"/>
      <c r="C13" s="20" t="s">
        <v>16</v>
      </c>
      <c r="D13" s="21" t="n">
        <f>2600</f>
        <v>2600.0</v>
      </c>
      <c r="E13" s="36" t="n">
        <f>1415</f>
        <v>1415.0</v>
      </c>
      <c r="F13" s="21" t="n">
        <f>2334</f>
        <v>2334.0</v>
      </c>
      <c r="G13" s="36" t="n">
        <f>1102</f>
        <v>1102.0</v>
      </c>
      <c r="H13" s="21" t="n">
        <f>4934</f>
        <v>4934.0</v>
      </c>
      <c r="I13" s="36" t="n">
        <f>2517</f>
        <v>2517.0</v>
      </c>
      <c r="J13" s="21" t="n">
        <f>1728766000</f>
        <v>1.728766E9</v>
      </c>
      <c r="K13" s="36" t="n">
        <f>1407033000</f>
        <v>1.407033E9</v>
      </c>
      <c r="L13" s="21" t="n">
        <f>1043361946</f>
        <v>1.043361946E9</v>
      </c>
      <c r="M13" s="36" t="n">
        <f>690017946</f>
        <v>6.90017946E8</v>
      </c>
      <c r="N13" s="21" t="n">
        <f>2772127946</f>
        <v>2.772127946E9</v>
      </c>
      <c r="O13" s="36" t="n">
        <f>2097050946</f>
        <v>2.097050946E9</v>
      </c>
    </row>
    <row r="14" spans="1:15" ht="24.9" customHeight="1">
      <c r="A14" s="38"/>
      <c r="B14" s="62"/>
      <c r="C14" s="20" t="s">
        <v>17</v>
      </c>
      <c r="D14" s="21" t="n">
        <f>15501</f>
        <v>15501.0</v>
      </c>
      <c r="E14" s="36" t="n">
        <f>10174</f>
        <v>10174.0</v>
      </c>
      <c r="F14" s="21" t="n">
        <f>8874</f>
        <v>8874.0</v>
      </c>
      <c r="G14" s="36" t="n">
        <f>5780</f>
        <v>5780.0</v>
      </c>
      <c r="H14" s="21" t="n">
        <f>24375</f>
        <v>24375.0</v>
      </c>
      <c r="I14" s="36" t="n">
        <f>15954</f>
        <v>15954.0</v>
      </c>
      <c r="J14" s="21" t="n">
        <f>9089663200</f>
        <v>9.0896632E9</v>
      </c>
      <c r="K14" s="36" t="n">
        <f>7704371200</f>
        <v>7.7043712E9</v>
      </c>
      <c r="L14" s="21" t="n">
        <f>6133351370</f>
        <v>6.13335137E9</v>
      </c>
      <c r="M14" s="36" t="n">
        <f>5350478370</f>
        <v>5.35047837E9</v>
      </c>
      <c r="N14" s="21" t="n">
        <f>15223014570</f>
        <v>1.522301457E10</v>
      </c>
      <c r="O14" s="36" t="n">
        <f>13054849570</f>
        <v>1.305484957E10</v>
      </c>
    </row>
    <row r="15" spans="1:15" ht="24.9" customHeight="1">
      <c r="A15" s="38"/>
      <c r="B15" s="62"/>
      <c r="C15" s="24" t="s">
        <v>18</v>
      </c>
      <c r="D15" s="25" t="n">
        <f>21395</f>
        <v>21395.0</v>
      </c>
      <c r="E15" s="37" t="n">
        <f>12951</f>
        <v>12951.0</v>
      </c>
      <c r="F15" s="25" t="n">
        <f>13453</f>
        <v>13453.0</v>
      </c>
      <c r="G15" s="37" t="n">
        <f>7051</f>
        <v>7051.0</v>
      </c>
      <c r="H15" s="25" t="n">
        <f>34848</f>
        <v>34848.0</v>
      </c>
      <c r="I15" s="37" t="n">
        <f>20002</f>
        <v>20002.0</v>
      </c>
      <c r="J15" s="25" t="n">
        <f>11892456530</f>
        <v>1.189245653E10</v>
      </c>
      <c r="K15" s="37" t="n">
        <f>9600100530</f>
        <v>9.60010053E9</v>
      </c>
      <c r="L15" s="25" t="n">
        <f>7666971056</f>
        <v>7.666971056E9</v>
      </c>
      <c r="M15" s="37" t="n">
        <f>6072985056</f>
        <v>6.072985056E9</v>
      </c>
      <c r="N15" s="25" t="n">
        <f>19559427586</f>
        <v>1.9559427586E10</v>
      </c>
      <c r="O15" s="37" t="n">
        <f>15673085586</f>
        <v>1.5673085586E10</v>
      </c>
    </row>
    <row r="16" spans="1:15" ht="24.9" customHeight="1">
      <c r="A16" s="38"/>
      <c r="B16" s="61" t="s">
        <v>105</v>
      </c>
      <c r="C16" s="16" t="s">
        <v>15</v>
      </c>
      <c r="D16" s="17" t="n">
        <f>7374</f>
        <v>7374.0</v>
      </c>
      <c r="E16" s="35" t="n">
        <f>410</f>
        <v>410.0</v>
      </c>
      <c r="F16" s="17" t="n">
        <f>5316</f>
        <v>5316.0</v>
      </c>
      <c r="G16" s="35" t="n">
        <f>440</f>
        <v>440.0</v>
      </c>
      <c r="H16" s="17" t="n">
        <f>12690</f>
        <v>12690.0</v>
      </c>
      <c r="I16" s="35" t="n">
        <f>850</f>
        <v>850.0</v>
      </c>
      <c r="J16" s="17" t="n">
        <f>335620130</f>
        <v>3.3562013E8</v>
      </c>
      <c r="K16" s="35" t="n">
        <f>4843830</f>
        <v>4843830.0</v>
      </c>
      <c r="L16" s="17" t="n">
        <f>165691160</f>
        <v>1.6569116E8</v>
      </c>
      <c r="M16" s="35" t="n">
        <f>2105360</f>
        <v>2105360.0</v>
      </c>
      <c r="N16" s="17" t="n">
        <f>501311290</f>
        <v>5.0131129E8</v>
      </c>
      <c r="O16" s="35" t="n">
        <f>6949190</f>
        <v>6949190.0</v>
      </c>
    </row>
    <row r="17" spans="1:15" ht="24.9" customHeight="1">
      <c r="A17" s="38"/>
      <c r="B17" s="62"/>
      <c r="C17" s="20" t="s">
        <v>16</v>
      </c>
      <c r="D17" s="21" t="n">
        <f>3429</f>
        <v>3429.0</v>
      </c>
      <c r="E17" s="36" t="n">
        <f>120</f>
        <v>120.0</v>
      </c>
      <c r="F17" s="21" t="n">
        <f>3685</f>
        <v>3685.0</v>
      </c>
      <c r="G17" s="36" t="n">
        <f>20</f>
        <v>20.0</v>
      </c>
      <c r="H17" s="21" t="n">
        <f>7114</f>
        <v>7114.0</v>
      </c>
      <c r="I17" s="36" t="n">
        <f>140</f>
        <v>140.0</v>
      </c>
      <c r="J17" s="21" t="n">
        <f>112732520</f>
        <v>1.1273252E8</v>
      </c>
      <c r="K17" s="36" t="n">
        <f>1540020</f>
        <v>1540020.0</v>
      </c>
      <c r="L17" s="21" t="n">
        <f>113755180</f>
        <v>1.1375518E8</v>
      </c>
      <c r="M17" s="36" t="n">
        <f>135380</f>
        <v>135380.0</v>
      </c>
      <c r="N17" s="21" t="n">
        <f>226487700</f>
        <v>2.264877E8</v>
      </c>
      <c r="O17" s="36" t="n">
        <f>1675400</f>
        <v>1675400.0</v>
      </c>
    </row>
    <row r="18" spans="1:15" ht="24.9" customHeight="1">
      <c r="A18" s="38"/>
      <c r="B18" s="62"/>
      <c r="C18" s="20" t="s">
        <v>17</v>
      </c>
      <c r="D18" s="21" t="n">
        <f>8330</f>
        <v>8330.0</v>
      </c>
      <c r="E18" s="36" t="n">
        <f>1050</f>
        <v>1050.0</v>
      </c>
      <c r="F18" s="21" t="n">
        <f>6247</f>
        <v>6247.0</v>
      </c>
      <c r="G18" s="36" t="n">
        <f>310</f>
        <v>310.0</v>
      </c>
      <c r="H18" s="21" t="n">
        <f>14577</f>
        <v>14577.0</v>
      </c>
      <c r="I18" s="36" t="n">
        <f>1360</f>
        <v>1360.0</v>
      </c>
      <c r="J18" s="21" t="n">
        <f>269180080</f>
        <v>2.6918008E8</v>
      </c>
      <c r="K18" s="36" t="n">
        <f>10114880</f>
        <v>1.011488E7</v>
      </c>
      <c r="L18" s="21" t="n">
        <f>189641010</f>
        <v>1.8964101E8</v>
      </c>
      <c r="M18" s="36" t="n">
        <f>8981610</f>
        <v>8981610.0</v>
      </c>
      <c r="N18" s="21" t="n">
        <f>458821090</f>
        <v>4.5882109E8</v>
      </c>
      <c r="O18" s="36" t="n">
        <f>19096490</f>
        <v>1.909649E7</v>
      </c>
    </row>
    <row r="19" spans="1:15" ht="24.9" customHeight="1">
      <c r="A19" s="38"/>
      <c r="B19" s="62"/>
      <c r="C19" s="24" t="s">
        <v>18</v>
      </c>
      <c r="D19" s="25" t="n">
        <f>19133</f>
        <v>19133.0</v>
      </c>
      <c r="E19" s="37" t="n">
        <f>1580</f>
        <v>1580.0</v>
      </c>
      <c r="F19" s="25" t="n">
        <f>15248</f>
        <v>15248.0</v>
      </c>
      <c r="G19" s="37" t="n">
        <f>770</f>
        <v>770.0</v>
      </c>
      <c r="H19" s="25" t="n">
        <f>34381</f>
        <v>34381.0</v>
      </c>
      <c r="I19" s="37" t="n">
        <f>2350</f>
        <v>2350.0</v>
      </c>
      <c r="J19" s="25" t="n">
        <f>717532730</f>
        <v>7.1753273E8</v>
      </c>
      <c r="K19" s="37" t="n">
        <f>16498730</f>
        <v>1.649873E7</v>
      </c>
      <c r="L19" s="25" t="n">
        <f>469087350</f>
        <v>4.6908735E8</v>
      </c>
      <c r="M19" s="37" t="n">
        <f>11222350</f>
        <v>1.122235E7</v>
      </c>
      <c r="N19" s="25" t="n">
        <f>1186620080</f>
        <v>1.18662008E9</v>
      </c>
      <c r="O19" s="37" t="n">
        <f>27721080</f>
        <v>2.772108E7</v>
      </c>
    </row>
    <row r="20" spans="1:15" ht="24.9" customHeight="1">
      <c r="A20" s="38"/>
      <c r="B20" s="61" t="s">
        <v>106</v>
      </c>
      <c r="C20" s="16" t="s">
        <v>15</v>
      </c>
      <c r="D20" s="17" t="n">
        <f>200</f>
        <v>200.0</v>
      </c>
      <c r="E20" s="35" t="n">
        <f>200</f>
        <v>200.0</v>
      </c>
      <c r="F20" s="17" t="n">
        <f>0</f>
        <v>0.0</v>
      </c>
      <c r="G20" s="35" t="n">
        <f>0</f>
        <v>0.0</v>
      </c>
      <c r="H20" s="17" t="n">
        <f>200</f>
        <v>200.0</v>
      </c>
      <c r="I20" s="35" t="n">
        <f>200</f>
        <v>200.0</v>
      </c>
      <c r="J20" s="17" t="n">
        <f>271000000</f>
        <v>2.71E8</v>
      </c>
      <c r="K20" s="35" t="n">
        <f>271000000</f>
        <v>2.71E8</v>
      </c>
      <c r="L20" s="17" t="n">
        <f>0</f>
        <v>0.0</v>
      </c>
      <c r="M20" s="35" t="n">
        <f>0</f>
        <v>0.0</v>
      </c>
      <c r="N20" s="17" t="n">
        <f>271000000</f>
        <v>2.71E8</v>
      </c>
      <c r="O20" s="35" t="n">
        <f>271000000</f>
        <v>2.71E8</v>
      </c>
    </row>
    <row r="21" spans="1:15" ht="24.9" customHeight="1">
      <c r="A21" s="38"/>
      <c r="B21" s="62"/>
      <c r="C21" s="20" t="s">
        <v>16</v>
      </c>
      <c r="D21" s="21" t="n">
        <f>325</f>
        <v>325.0</v>
      </c>
      <c r="E21" s="36" t="n">
        <f>325</f>
        <v>325.0</v>
      </c>
      <c r="F21" s="21" t="n">
        <f>250</f>
        <v>250.0</v>
      </c>
      <c r="G21" s="36" t="n">
        <f>250</f>
        <v>250.0</v>
      </c>
      <c r="H21" s="21" t="n">
        <f>575</f>
        <v>575.0</v>
      </c>
      <c r="I21" s="36" t="n">
        <f>575</f>
        <v>575.0</v>
      </c>
      <c r="J21" s="21" t="n">
        <f>942848750</f>
        <v>9.4284875E8</v>
      </c>
      <c r="K21" s="36" t="n">
        <f>942848750</f>
        <v>9.4284875E8</v>
      </c>
      <c r="L21" s="21" t="n">
        <f>812500000</f>
        <v>8.125E8</v>
      </c>
      <c r="M21" s="36" t="n">
        <f>812500000</f>
        <v>8.125E8</v>
      </c>
      <c r="N21" s="21" t="n">
        <f>1755348750</f>
        <v>1.75534875E9</v>
      </c>
      <c r="O21" s="36" t="n">
        <f>1755348750</f>
        <v>1.75534875E9</v>
      </c>
    </row>
    <row r="22" spans="1:15" ht="24.9" customHeight="1">
      <c r="A22" s="38"/>
      <c r="B22" s="62"/>
      <c r="C22" s="20" t="s">
        <v>17</v>
      </c>
      <c r="D22" s="21" t="n">
        <f>272</f>
        <v>272.0</v>
      </c>
      <c r="E22" s="36" t="n">
        <f>270</f>
        <v>270.0</v>
      </c>
      <c r="F22" s="21" t="n">
        <f>270</f>
        <v>270.0</v>
      </c>
      <c r="G22" s="36" t="n">
        <f>270</f>
        <v>270.0</v>
      </c>
      <c r="H22" s="21" t="n">
        <f>542</f>
        <v>542.0</v>
      </c>
      <c r="I22" s="36" t="n">
        <f>540</f>
        <v>540.0</v>
      </c>
      <c r="J22" s="21" t="n">
        <f>280045000</f>
        <v>2.80045E8</v>
      </c>
      <c r="K22" s="36" t="n">
        <f>279240000</f>
        <v>2.7924E8</v>
      </c>
      <c r="L22" s="21" t="n">
        <f>254000000</f>
        <v>2.54E8</v>
      </c>
      <c r="M22" s="36" t="n">
        <f>254000000</f>
        <v>2.54E8</v>
      </c>
      <c r="N22" s="21" t="n">
        <f>534045000</f>
        <v>5.34045E8</v>
      </c>
      <c r="O22" s="36" t="n">
        <f>533240000</f>
        <v>5.3324E8</v>
      </c>
    </row>
    <row r="23" spans="1:15" ht="24.9" customHeight="1">
      <c r="A23" s="38"/>
      <c r="B23" s="62"/>
      <c r="C23" s="24" t="s">
        <v>18</v>
      </c>
      <c r="D23" s="25" t="n">
        <f>797</f>
        <v>797.0</v>
      </c>
      <c r="E23" s="37" t="n">
        <f>795</f>
        <v>795.0</v>
      </c>
      <c r="F23" s="25" t="n">
        <f>520</f>
        <v>520.0</v>
      </c>
      <c r="G23" s="37" t="n">
        <f>520</f>
        <v>520.0</v>
      </c>
      <c r="H23" s="25" t="n">
        <f>1317</f>
        <v>1317.0</v>
      </c>
      <c r="I23" s="37" t="n">
        <f>1315</f>
        <v>1315.0</v>
      </c>
      <c r="J23" s="25" t="n">
        <f>1493893750</f>
        <v>1.49389375E9</v>
      </c>
      <c r="K23" s="37" t="n">
        <f>1493088750</f>
        <v>1.49308875E9</v>
      </c>
      <c r="L23" s="25" t="n">
        <f>1066500000</f>
        <v>1.0665E9</v>
      </c>
      <c r="M23" s="37" t="n">
        <f>1066500000</f>
        <v>1.0665E9</v>
      </c>
      <c r="N23" s="25" t="n">
        <f>2560393750</f>
        <v>2.56039375E9</v>
      </c>
      <c r="O23" s="37" t="n">
        <f>2559588750</f>
        <v>2.55958875E9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160</f>
        <v>160.0</v>
      </c>
      <c r="E37" s="22" t="n">
        <f>80</f>
        <v>80.0</v>
      </c>
      <c r="F37" s="21" t="n">
        <f>259</f>
        <v>259.0</v>
      </c>
      <c r="G37" s="22" t="n">
        <f>80</f>
        <v>80.0</v>
      </c>
      <c r="H37" s="21" t="n">
        <f>419</f>
        <v>419.0</v>
      </c>
      <c r="I37" s="22" t="n">
        <f>160</f>
        <v>160.0</v>
      </c>
      <c r="J37" s="21" t="n">
        <f>35950000</f>
        <v>3.595E7</v>
      </c>
      <c r="K37" s="22" t="n">
        <f>19200000</f>
        <v>1.92E7</v>
      </c>
      <c r="L37" s="21" t="n">
        <f>70280000</f>
        <v>7.028E7</v>
      </c>
      <c r="M37" s="22" t="n">
        <f>32000000</f>
        <v>3.2E7</v>
      </c>
      <c r="N37" s="21" t="n">
        <f>106230000</f>
        <v>1.0623E8</v>
      </c>
      <c r="O37" s="22" t="n">
        <f>51200000</f>
        <v>5.12E7</v>
      </c>
    </row>
    <row r="38" spans="1:15" ht="24.9" customHeight="1">
      <c r="A38" s="38"/>
      <c r="B38" s="62"/>
      <c r="C38" s="20" t="s">
        <v>17</v>
      </c>
      <c r="D38" s="21" t="n">
        <f>136</f>
        <v>136.0</v>
      </c>
      <c r="E38" s="36" t="n">
        <f>10</f>
        <v>10.0</v>
      </c>
      <c r="F38" s="21" t="n">
        <f>79</f>
        <v>79.0</v>
      </c>
      <c r="G38" s="36" t="n">
        <f>10</f>
        <v>10.0</v>
      </c>
      <c r="H38" s="21" t="n">
        <f>215</f>
        <v>215.0</v>
      </c>
      <c r="I38" s="36" t="n">
        <f>20</f>
        <v>20.0</v>
      </c>
      <c r="J38" s="21" t="n">
        <f>12890000</f>
        <v>1.289E7</v>
      </c>
      <c r="K38" s="36" t="n">
        <f>2400000</f>
        <v>2400000.0</v>
      </c>
      <c r="L38" s="21" t="n">
        <f>16510000</f>
        <v>1.651E7</v>
      </c>
      <c r="M38" s="36" t="n">
        <f>4000000</f>
        <v>4000000.0</v>
      </c>
      <c r="N38" s="21" t="n">
        <f>29400000</f>
        <v>2.94E7</v>
      </c>
      <c r="O38" s="36" t="n">
        <f>6400000</f>
        <v>6400000.0</v>
      </c>
    </row>
    <row r="39" spans="1:15" ht="24.9" customHeight="1">
      <c r="A39" s="38"/>
      <c r="B39" s="62"/>
      <c r="C39" s="24" t="s">
        <v>18</v>
      </c>
      <c r="D39" s="25" t="n">
        <f>296</f>
        <v>296.0</v>
      </c>
      <c r="E39" s="37" t="n">
        <f>90</f>
        <v>90.0</v>
      </c>
      <c r="F39" s="25" t="n">
        <f>338</f>
        <v>338.0</v>
      </c>
      <c r="G39" s="37" t="n">
        <f>90</f>
        <v>90.0</v>
      </c>
      <c r="H39" s="25" t="n">
        <f>634</f>
        <v>634.0</v>
      </c>
      <c r="I39" s="37" t="n">
        <f>180</f>
        <v>180.0</v>
      </c>
      <c r="J39" s="25" t="n">
        <f>48840000</f>
        <v>4.884E7</v>
      </c>
      <c r="K39" s="37" t="n">
        <f>21600000</f>
        <v>2.16E7</v>
      </c>
      <c r="L39" s="25" t="n">
        <f>86790000</f>
        <v>8.679E7</v>
      </c>
      <c r="M39" s="37" t="n">
        <f>36000000</f>
        <v>3.6E7</v>
      </c>
      <c r="N39" s="25" t="n">
        <f>135630000</f>
        <v>1.3563E8</v>
      </c>
      <c r="O39" s="37" t="n">
        <f>57600000</f>
        <v>5.76E7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379</f>
        <v>379.0</v>
      </c>
      <c r="E41" s="36" t="n">
        <f>0</f>
        <v>0.0</v>
      </c>
      <c r="F41" s="21" t="n">
        <f>194</f>
        <v>194.0</v>
      </c>
      <c r="G41" s="36" t="n">
        <f>0</f>
        <v>0.0</v>
      </c>
      <c r="H41" s="21" t="n">
        <f>573</f>
        <v>573.0</v>
      </c>
      <c r="I41" s="36" t="n">
        <f>0</f>
        <v>0.0</v>
      </c>
      <c r="J41" s="21" t="n">
        <f>6806170</f>
        <v>6806170.0</v>
      </c>
      <c r="K41" s="36" t="n">
        <f>0</f>
        <v>0.0</v>
      </c>
      <c r="L41" s="21" t="n">
        <f>1464940</f>
        <v>1464940.0</v>
      </c>
      <c r="M41" s="36" t="n">
        <f>0</f>
        <v>0.0</v>
      </c>
      <c r="N41" s="21" t="n">
        <f>8271110</f>
        <v>8271110.0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1408</f>
        <v>1408.0</v>
      </c>
      <c r="E42" s="36" t="n">
        <f>0</f>
        <v>0.0</v>
      </c>
      <c r="F42" s="21" t="n">
        <f>632</f>
        <v>632.0</v>
      </c>
      <c r="G42" s="36" t="n">
        <f>100</f>
        <v>100.0</v>
      </c>
      <c r="H42" s="21" t="n">
        <f>2040</f>
        <v>2040.0</v>
      </c>
      <c r="I42" s="36" t="n">
        <f>100</f>
        <v>100.0</v>
      </c>
      <c r="J42" s="21" t="n">
        <f>26938555</f>
        <v>2.6938555E7</v>
      </c>
      <c r="K42" s="36" t="n">
        <f>0</f>
        <v>0.0</v>
      </c>
      <c r="L42" s="21" t="n">
        <f>6438967</f>
        <v>6438967.0</v>
      </c>
      <c r="M42" s="36" t="n">
        <f>605000</f>
        <v>605000.0</v>
      </c>
      <c r="N42" s="21" t="n">
        <f>33377522</f>
        <v>3.3377522E7</v>
      </c>
      <c r="O42" s="36" t="n">
        <f>605000</f>
        <v>605000.0</v>
      </c>
    </row>
    <row r="43" spans="1:15" ht="24.9" customHeight="1">
      <c r="A43" s="38"/>
      <c r="B43" s="62"/>
      <c r="C43" s="24" t="s">
        <v>18</v>
      </c>
      <c r="D43" s="25" t="n">
        <f>1787</f>
        <v>1787.0</v>
      </c>
      <c r="E43" s="37" t="n">
        <f>0</f>
        <v>0.0</v>
      </c>
      <c r="F43" s="25" t="n">
        <f>826</f>
        <v>826.0</v>
      </c>
      <c r="G43" s="37" t="n">
        <f>100</f>
        <v>100.0</v>
      </c>
      <c r="H43" s="25" t="n">
        <f>2613</f>
        <v>2613.0</v>
      </c>
      <c r="I43" s="37" t="n">
        <f>100</f>
        <v>100.0</v>
      </c>
      <c r="J43" s="25" t="n">
        <f>33744725</f>
        <v>3.3744725E7</v>
      </c>
      <c r="K43" s="37" t="n">
        <f>0</f>
        <v>0.0</v>
      </c>
      <c r="L43" s="25" t="n">
        <f>7903907</f>
        <v>7903907.0</v>
      </c>
      <c r="M43" s="37" t="n">
        <f>605000</f>
        <v>605000.0</v>
      </c>
      <c r="N43" s="25" t="n">
        <f>41648632</f>
        <v>4.1648632E7</v>
      </c>
      <c r="O43" s="37" t="n">
        <f>605000</f>
        <v>605000.0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