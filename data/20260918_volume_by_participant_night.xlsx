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<sst xmlns="http://schemas.openxmlformats.org/spreadsheetml/2006/main" count="838" uniqueCount="131">
  <si>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</si>
  <si>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</si>
  <si>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</si>
  <si>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</si>
  <si>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</si>
  <si>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</si>
  <si>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</si>
  <si>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</si>
  <si>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</si>
  <si>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20260918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</si>
  <si>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</si>
  <si>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</si>
  <si>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</si>
  <si>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</si>
  <si>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</si>
  <si>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</si>
  <si>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</si>
  <si>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</si>
  <si>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</si>
  <si>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</si>
  <si>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</si>
  <si>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</si>
  <si>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</si>
  <si>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</si>
  <si>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</si>
  <si>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</si>
  <si>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</si>
  <si>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</si>
  <si>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</si>
  <si>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</si>
  <si>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</si>
  <si>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</si>
  <si>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</si>
  <si>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</si>
  <si>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</si>
  <si>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</si>
  <si>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</si>
  <si>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</si>
  <si>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</si>
  <si>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</si>
  <si>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</si>
  <si>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</si>
  <si>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</si>
  <si>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</si>
  <si>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</si>
  <si>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</si>
  <si>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</si>
  <si>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</si>
  <si>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</si>
  <si>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</si>
  <si>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</si>
  <si>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</si>
  <si>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</si>
  <si>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</si>
  <si>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</si>
  <si>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</si>
  <si>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</si>
  <si>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</si>
  <si>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</si>
  <si>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</si>
  <si>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</si>
  <si>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12288</t>
  </si>
  <si>
    <t>フィリップ・キャ証券</t>
  </si>
  <si>
    <t>PhillipCapital Japan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</si>
  <si>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</si>
  <si>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</si>
  <si>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</si>
  <si>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</si>
  <si>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</si>
  <si>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</si>
  <si>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12800</t>
  </si>
  <si>
    <t>モルガンＭＵＦＧ証券</t>
  </si>
  <si>
    <t>Morgan Stanley MUFG Securities</t>
  </si>
  <si>
    <t>162030018</t>
  </si>
  <si>
    <t>NIKKEI 225 FUT 2703</t>
  </si>
  <si>
    <t>NK225MF</t>
  </si>
  <si>
    <t>161100019</t>
  </si>
  <si>
    <t>MINI NK225 FUT 2610</t>
  </si>
  <si>
    <t>12176</t>
  </si>
  <si>
    <t>ドイツ証券</t>
  </si>
  <si>
    <t>Deutsche Securities</t>
  </si>
  <si>
    <t>11512</t>
  </si>
  <si>
    <t>光世証券</t>
  </si>
  <si>
    <t>The Kosei Securities</t>
  </si>
  <si>
    <t>11448</t>
  </si>
  <si>
    <t>Ｊトラストグローバル</t>
  </si>
  <si>
    <t>J Trust Global Securities</t>
  </si>
  <si>
    <t>12464</t>
  </si>
  <si>
    <t>広田証券</t>
  </si>
  <si>
    <t>Hirota Securities</t>
  </si>
  <si>
    <t>161110019</t>
  </si>
  <si>
    <t>MINI NK225 FUT 2611</t>
  </si>
  <si>
    <t>161120019</t>
  </si>
  <si>
    <t>MINI NK225 FUT 2612</t>
  </si>
  <si>
    <t>11696</t>
  </si>
  <si>
    <t>みずほ証券</t>
  </si>
  <si>
    <t>Mizuho Securities</t>
  </si>
  <si>
    <t>12000</t>
  </si>
  <si>
    <t>大和証券</t>
  </si>
  <si>
    <t>Daiwa Securities</t>
  </si>
  <si>
    <t>TOPIXF</t>
  </si>
  <si>
    <t>161120005</t>
  </si>
  <si>
    <t>TOPIX FUT 2612</t>
  </si>
  <si>
    <t>12724</t>
  </si>
  <si>
    <t>ＨＳＢＣ証券</t>
  </si>
  <si>
    <t>HSBC Securities (Japan)</t>
  </si>
  <si>
    <t>12888</t>
  </si>
  <si>
    <t>山和証券</t>
  </si>
  <si>
    <t>YAMAWA SECURITIES</t>
  </si>
  <si>
    <t>NK225E</t>
  </si>
  <si>
    <t>181224018</t>
  </si>
  <si>
    <t>NIKKEI 225 OOP P2610-64000</t>
  </si>
  <si>
    <t>131224218</t>
  </si>
  <si>
    <t>NIKKEI 225 OOP P2610-64250</t>
  </si>
  <si>
    <t>181225018</t>
  </si>
  <si>
    <t>NIKKEI 225 OOP P2610-65000</t>
  </si>
  <si>
    <t>141346018</t>
  </si>
  <si>
    <t>NIKKEI 225 OOP C2610-66000</t>
  </si>
  <si>
    <t>11056</t>
  </si>
  <si>
    <t>安藤証券</t>
  </si>
  <si>
    <t>ANDO SECURITIES</t>
  </si>
  <si>
    <t>141105818</t>
  </si>
  <si>
    <t>NIKKEI 225 OOP C2610-65875</t>
  </si>
  <si>
    <t>141225518</t>
  </si>
  <si>
    <t>NIKKEI 225 OOP C2610-65500</t>
  </si>
  <si>
    <t>141225218</t>
  </si>
  <si>
    <t>NIKKEI 225 OOP C2610-65250</t>
  </si>
  <si>
    <t>191225018</t>
  </si>
  <si>
    <t>NIKKEI 225 OOP C2610-65000</t>
  </si>
  <si>
    <t>141104818</t>
  </si>
  <si>
    <t>NIKKEI 225 OOP C2610-64875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</si>
</sst>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4319.0</f>
        <v>4319.0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2742.0</f>
        <v>2742.0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1197.0</f>
        <v>1197.0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494.0</f>
        <v>494.0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382.0</f>
        <v>382.0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356.0</f>
        <v>356.0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328.0</f>
        <v>328.0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327.0</f>
        <v>327.0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312.0</f>
        <v>312.0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268.0</f>
        <v>268.0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245.0</f>
        <v>245.0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229.0</f>
        <v>229.0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223.0</f>
        <v>223.0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206.0</f>
        <v>206.0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98.0</f>
        <v>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89.0</f>
        <v>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79.0</f>
        <v>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78.0</f>
        <v>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75.0</f>
        <v>75.0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66.0</f>
        <v>66.0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2.0</f>
        <v>2.0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49</v>
      </c>
      <c r="F30" s="4" t="s">
        <v>50</v>
      </c>
      <c r="G30" s="4" t="s">
        <v>51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1.0</f>
        <v>1.0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16</v>
      </c>
      <c r="F32" s="4" t="s">
        <v>17</v>
      </c>
      <c r="G32" s="4" t="s">
        <v>18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3.0</v>
      </c>
      <c r="E33" s="4" t="s">
        <v>34</v>
      </c>
      <c r="F33" s="4" t="s">
        <v>35</v>
      </c>
      <c r="G33" s="4" t="s">
        <v>36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3.0</v>
      </c>
      <c r="E34" s="4" t="s">
        <v>13</v>
      </c>
      <c r="F34" s="4" t="s">
        <v>14</v>
      </c>
      <c r="G34" s="4" t="s">
        <v>15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3178.0</f>
        <v>3178.0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2302.0</f>
        <v>2302.0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25</v>
      </c>
      <c r="F37" s="4" t="s">
        <v>26</v>
      </c>
      <c r="G37" s="4" t="s">
        <v>27</v>
      </c>
      <c r="H37" s="5" t="n">
        <f>1859.0</f>
        <v>1859.0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37</v>
      </c>
      <c r="F38" s="4" t="s">
        <v>38</v>
      </c>
      <c r="G38" s="4" t="s">
        <v>39</v>
      </c>
      <c r="H38" s="5" t="n">
        <f>1794.0</f>
        <v>1794.0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19</v>
      </c>
      <c r="F39" s="4" t="s">
        <v>20</v>
      </c>
      <c r="G39" s="4" t="s">
        <v>21</v>
      </c>
      <c r="H39" s="5" t="n">
        <f>1176.0</f>
        <v>1176.0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46</v>
      </c>
      <c r="F40" s="4" t="s">
        <v>47</v>
      </c>
      <c r="G40" s="4" t="s">
        <v>48</v>
      </c>
      <c r="H40" s="5" t="n">
        <f>365.0</f>
        <v>365.0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49</v>
      </c>
      <c r="F41" s="4" t="s">
        <v>50</v>
      </c>
      <c r="G41" s="4" t="s">
        <v>51</v>
      </c>
      <c r="H41" s="5" t="n">
        <f>317.0</f>
        <v>317.0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67</v>
      </c>
      <c r="F42" s="4" t="s">
        <v>68</v>
      </c>
      <c r="G42" s="4" t="s">
        <v>69</v>
      </c>
      <c r="H42" s="5" t="n">
        <f>267.0</f>
        <v>267.0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61</v>
      </c>
      <c r="F43" s="4" t="s">
        <v>62</v>
      </c>
      <c r="G43" s="4" t="s">
        <v>63</v>
      </c>
      <c r="H43" s="5" t="n">
        <f>216.0</f>
        <v>216.0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55</v>
      </c>
      <c r="F44" s="4" t="s">
        <v>56</v>
      </c>
      <c r="G44" s="4" t="s">
        <v>57</v>
      </c>
      <c r="H44" s="5" t="n">
        <f>138.0</f>
        <v>138.0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78</v>
      </c>
      <c r="F45" s="4" t="s">
        <v>79</v>
      </c>
      <c r="G45" s="4" t="s">
        <v>80</v>
      </c>
      <c r="H45" s="5" t="n">
        <f>69.0</f>
        <v>69.0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34</v>
      </c>
      <c r="F46" s="4" t="s">
        <v>35</v>
      </c>
      <c r="G46" s="4" t="s">
        <v>36</v>
      </c>
      <c r="H46" s="5" t="n">
        <f>42.0</f>
        <v>42.0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31</v>
      </c>
      <c r="F47" s="4" t="s">
        <v>32</v>
      </c>
      <c r="G47" s="4" t="s">
        <v>33</v>
      </c>
      <c r="H47" s="5" t="n">
        <f>28.0</f>
        <v>28.0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64</v>
      </c>
      <c r="F48" s="4" t="s">
        <v>65</v>
      </c>
      <c r="G48" s="4" t="s">
        <v>66</v>
      </c>
      <c r="H48" s="5" t="n">
        <f>15.0</f>
        <v>15.0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40</v>
      </c>
      <c r="F49" s="4" t="s">
        <v>41</v>
      </c>
      <c r="G49" s="4" t="s">
        <v>42</v>
      </c>
      <c r="H49" s="5" t="n">
        <f>13.0</f>
        <v>13.0</v>
      </c>
    </row>
    <row r="50">
      <c r="A50" s="3" t="s">
        <v>75</v>
      </c>
      <c r="B50" s="4" t="s">
        <v>76</v>
      </c>
      <c r="C50" s="4" t="s">
        <v>77</v>
      </c>
      <c r="D50" s="3" t="n">
        <v>16.0</v>
      </c>
      <c r="E50" s="4" t="s">
        <v>81</v>
      </c>
      <c r="F50" s="4" t="s">
        <v>82</v>
      </c>
      <c r="G50" s="4" t="s">
        <v>83</v>
      </c>
      <c r="H50" s="5" t="n">
        <f>10.0</f>
        <v>10.0</v>
      </c>
    </row>
    <row r="51">
      <c r="A51" s="3" t="s">
        <v>75</v>
      </c>
      <c r="B51" s="4" t="s">
        <v>76</v>
      </c>
      <c r="C51" s="4" t="s">
        <v>77</v>
      </c>
      <c r="D51" s="3" t="n">
        <v>17.0</v>
      </c>
      <c r="E51" s="4" t="s">
        <v>84</v>
      </c>
      <c r="F51" s="4" t="s">
        <v>85</v>
      </c>
      <c r="G51" s="4" t="s">
        <v>86</v>
      </c>
      <c r="H51" s="5" t="n">
        <f>4.0</f>
        <v>4.0</v>
      </c>
    </row>
    <row r="52">
      <c r="A52" s="3" t="s">
        <v>75</v>
      </c>
      <c r="B52" s="4" t="s">
        <v>76</v>
      </c>
      <c r="C52" s="4" t="s">
        <v>77</v>
      </c>
      <c r="D52" s="3" t="n">
        <v>18.0</v>
      </c>
      <c r="E52" s="4" t="s">
        <v>87</v>
      </c>
      <c r="F52" s="4" t="s">
        <v>88</v>
      </c>
      <c r="G52" s="4" t="s">
        <v>89</v>
      </c>
      <c r="H52" s="5" t="n">
        <f>3.0</f>
        <v>3.0</v>
      </c>
    </row>
    <row r="53">
      <c r="A53" s="3" t="s">
        <v>75</v>
      </c>
      <c r="B53" s="4" t="s">
        <v>76</v>
      </c>
      <c r="C53" s="4" t="s">
        <v>77</v>
      </c>
      <c r="D53" s="3" t="n">
        <v>19.0</v>
      </c>
      <c r="E53" s="4" t="s">
        <v>58</v>
      </c>
      <c r="F53" s="4" t="s">
        <v>59</v>
      </c>
      <c r="G53" s="4" t="s">
        <v>60</v>
      </c>
      <c r="H53" s="5" t="n">
        <f>2.0</f>
        <v>2.0</v>
      </c>
    </row>
    <row r="54">
      <c r="A54" s="3" t="s">
        <v>75</v>
      </c>
      <c r="B54" s="4" t="s">
        <v>90</v>
      </c>
      <c r="C54" s="4" t="s">
        <v>91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49.0</f>
        <v>49.0</v>
      </c>
    </row>
    <row r="55">
      <c r="A55" s="3" t="s">
        <v>75</v>
      </c>
      <c r="B55" s="4" t="s">
        <v>90</v>
      </c>
      <c r="C55" s="4" t="s">
        <v>91</v>
      </c>
      <c r="D55" s="3" t="n">
        <v>2.0</v>
      </c>
      <c r="E55" s="4" t="s">
        <v>37</v>
      </c>
      <c r="F55" s="4" t="s">
        <v>38</v>
      </c>
      <c r="G55" s="4" t="s">
        <v>39</v>
      </c>
      <c r="H55" s="5" t="n">
        <f>22.0</f>
        <v>22.0</v>
      </c>
    </row>
    <row r="56">
      <c r="A56" s="3" t="s">
        <v>75</v>
      </c>
      <c r="B56" s="4" t="s">
        <v>90</v>
      </c>
      <c r="C56" s="4" t="s">
        <v>91</v>
      </c>
      <c r="D56" s="3" t="n">
        <v>3.0</v>
      </c>
      <c r="E56" s="4" t="s">
        <v>46</v>
      </c>
      <c r="F56" s="4" t="s">
        <v>47</v>
      </c>
      <c r="G56" s="4" t="s">
        <v>48</v>
      </c>
      <c r="H56" s="5" t="n">
        <f>11.0</f>
        <v>11.0</v>
      </c>
    </row>
    <row r="57">
      <c r="A57" s="3" t="s">
        <v>75</v>
      </c>
      <c r="B57" s="4" t="s">
        <v>90</v>
      </c>
      <c r="C57" s="4" t="s">
        <v>91</v>
      </c>
      <c r="D57" s="3" t="n">
        <v>4.0</v>
      </c>
      <c r="E57" s="4" t="s">
        <v>13</v>
      </c>
      <c r="F57" s="4" t="s">
        <v>14</v>
      </c>
      <c r="G57" s="4" t="s">
        <v>15</v>
      </c>
      <c r="H57" s="5" t="n">
        <f>10.0</f>
        <v>10.0</v>
      </c>
    </row>
    <row r="58">
      <c r="A58" s="3" t="s">
        <v>75</v>
      </c>
      <c r="B58" s="4" t="s">
        <v>90</v>
      </c>
      <c r="C58" s="4" t="s">
        <v>91</v>
      </c>
      <c r="D58" s="3" t="n">
        <v>5.0</v>
      </c>
      <c r="E58" s="4" t="s">
        <v>61</v>
      </c>
      <c r="F58" s="4" t="s">
        <v>62</v>
      </c>
      <c r="G58" s="4" t="s">
        <v>63</v>
      </c>
      <c r="H58" s="5" t="n">
        <f>9.0</f>
        <v>9.0</v>
      </c>
    </row>
    <row r="59">
      <c r="A59" s="3" t="s">
        <v>75</v>
      </c>
      <c r="B59" s="4" t="s">
        <v>90</v>
      </c>
      <c r="C59" s="4" t="s">
        <v>91</v>
      </c>
      <c r="D59" s="3" t="n">
        <v>6.0</v>
      </c>
      <c r="E59" s="4" t="s">
        <v>25</v>
      </c>
      <c r="F59" s="4" t="s">
        <v>26</v>
      </c>
      <c r="G59" s="4" t="s">
        <v>27</v>
      </c>
      <c r="H59" s="5" t="n">
        <f>8.0</f>
        <v>8.0</v>
      </c>
    </row>
    <row r="60">
      <c r="A60" s="3" t="s">
        <v>75</v>
      </c>
      <c r="B60" s="4" t="s">
        <v>90</v>
      </c>
      <c r="C60" s="4" t="s">
        <v>91</v>
      </c>
      <c r="D60" s="3" t="n">
        <v>7.0</v>
      </c>
      <c r="E60" s="4" t="s">
        <v>34</v>
      </c>
      <c r="F60" s="4" t="s">
        <v>35</v>
      </c>
      <c r="G60" s="4" t="s">
        <v>36</v>
      </c>
      <c r="H60" s="5" t="n">
        <f>5.0</f>
        <v>5.0</v>
      </c>
    </row>
    <row r="61">
      <c r="A61" s="3" t="s">
        <v>75</v>
      </c>
      <c r="B61" s="4" t="s">
        <v>90</v>
      </c>
      <c r="C61" s="4" t="s">
        <v>91</v>
      </c>
      <c r="D61" s="3" t="n">
        <v>8.0</v>
      </c>
      <c r="E61" s="4" t="s">
        <v>67</v>
      </c>
      <c r="F61" s="4" t="s">
        <v>68</v>
      </c>
      <c r="G61" s="4" t="s">
        <v>69</v>
      </c>
      <c r="H61" s="5" t="n">
        <f>3.0</f>
        <v>3.0</v>
      </c>
    </row>
    <row r="62">
      <c r="A62" s="3" t="s">
        <v>75</v>
      </c>
      <c r="B62" s="4" t="s">
        <v>90</v>
      </c>
      <c r="C62" s="4" t="s">
        <v>91</v>
      </c>
      <c r="D62" s="3" t="n">
        <v>9.0</v>
      </c>
      <c r="E62" s="4" t="s">
        <v>55</v>
      </c>
      <c r="F62" s="4" t="s">
        <v>56</v>
      </c>
      <c r="G62" s="4" t="s">
        <v>57</v>
      </c>
      <c r="H62" s="5" t="n">
        <f>2.0</f>
        <v>2.0</v>
      </c>
    </row>
    <row r="63">
      <c r="A63" s="3" t="s">
        <v>75</v>
      </c>
      <c r="B63" s="4" t="s">
        <v>90</v>
      </c>
      <c r="C63" s="4" t="s">
        <v>91</v>
      </c>
      <c r="D63" s="3" t="n">
        <v>9.0</v>
      </c>
      <c r="E63" s="4" t="s">
        <v>78</v>
      </c>
      <c r="F63" s="4" t="s">
        <v>79</v>
      </c>
      <c r="G63" s="4" t="s">
        <v>80</v>
      </c>
      <c r="H63" s="5" t="n">
        <f>2.0</f>
        <v>2.0</v>
      </c>
    </row>
    <row r="64">
      <c r="A64" s="3" t="s">
        <v>75</v>
      </c>
      <c r="B64" s="4" t="s">
        <v>90</v>
      </c>
      <c r="C64" s="4" t="s">
        <v>91</v>
      </c>
      <c r="D64" s="3" t="n">
        <v>11.0</v>
      </c>
      <c r="E64" s="4" t="s">
        <v>49</v>
      </c>
      <c r="F64" s="4" t="s">
        <v>50</v>
      </c>
      <c r="G64" s="4" t="s">
        <v>51</v>
      </c>
      <c r="H64" s="5" t="n">
        <f>1.0</f>
        <v>1.0</v>
      </c>
    </row>
    <row r="65">
      <c r="A65" s="3" t="s">
        <v>75</v>
      </c>
      <c r="B65" s="4" t="s">
        <v>92</v>
      </c>
      <c r="C65" s="4" t="s">
        <v>93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111167.0</f>
        <v>111167.0</v>
      </c>
    </row>
    <row r="66">
      <c r="A66" s="3" t="s">
        <v>75</v>
      </c>
      <c r="B66" s="4" t="s">
        <v>92</v>
      </c>
      <c r="C66" s="4" t="s">
        <v>93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74897.0</f>
        <v>74897.0</v>
      </c>
    </row>
    <row r="67">
      <c r="A67" s="3" t="s">
        <v>75</v>
      </c>
      <c r="B67" s="4" t="s">
        <v>92</v>
      </c>
      <c r="C67" s="4" t="s">
        <v>93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41275.0</f>
        <v>41275.0</v>
      </c>
    </row>
    <row r="68">
      <c r="A68" s="3" t="s">
        <v>75</v>
      </c>
      <c r="B68" s="4" t="s">
        <v>92</v>
      </c>
      <c r="C68" s="4" t="s">
        <v>93</v>
      </c>
      <c r="D68" s="3" t="n">
        <v>4.0</v>
      </c>
      <c r="E68" s="4" t="s">
        <v>25</v>
      </c>
      <c r="F68" s="4" t="s">
        <v>26</v>
      </c>
      <c r="G68" s="4" t="s">
        <v>27</v>
      </c>
      <c r="H68" s="5" t="n">
        <f>21388.0</f>
        <v>21388.0</v>
      </c>
    </row>
    <row r="69">
      <c r="A69" s="3" t="s">
        <v>75</v>
      </c>
      <c r="B69" s="4" t="s">
        <v>92</v>
      </c>
      <c r="C69" s="4" t="s">
        <v>93</v>
      </c>
      <c r="D69" s="3" t="n">
        <v>5.0</v>
      </c>
      <c r="E69" s="4" t="s">
        <v>37</v>
      </c>
      <c r="F69" s="4" t="s">
        <v>38</v>
      </c>
      <c r="G69" s="4" t="s">
        <v>39</v>
      </c>
      <c r="H69" s="5" t="n">
        <f>20395.0</f>
        <v>20395.0</v>
      </c>
    </row>
    <row r="70">
      <c r="A70" s="3" t="s">
        <v>75</v>
      </c>
      <c r="B70" s="4" t="s">
        <v>92</v>
      </c>
      <c r="C70" s="4" t="s">
        <v>93</v>
      </c>
      <c r="D70" s="3" t="n">
        <v>6.0</v>
      </c>
      <c r="E70" s="4" t="s">
        <v>49</v>
      </c>
      <c r="F70" s="4" t="s">
        <v>50</v>
      </c>
      <c r="G70" s="4" t="s">
        <v>51</v>
      </c>
      <c r="H70" s="5" t="n">
        <f>15698.0</f>
        <v>15698.0</v>
      </c>
    </row>
    <row r="71">
      <c r="A71" s="3" t="s">
        <v>75</v>
      </c>
      <c r="B71" s="4" t="s">
        <v>92</v>
      </c>
      <c r="C71" s="4" t="s">
        <v>93</v>
      </c>
      <c r="D71" s="3" t="n">
        <v>7.0</v>
      </c>
      <c r="E71" s="4" t="s">
        <v>34</v>
      </c>
      <c r="F71" s="4" t="s">
        <v>35</v>
      </c>
      <c r="G71" s="4" t="s">
        <v>36</v>
      </c>
      <c r="H71" s="5" t="n">
        <f>6424.0</f>
        <v>6424.0</v>
      </c>
    </row>
    <row r="72">
      <c r="A72" s="3" t="s">
        <v>75</v>
      </c>
      <c r="B72" s="4" t="s">
        <v>92</v>
      </c>
      <c r="C72" s="4" t="s">
        <v>93</v>
      </c>
      <c r="D72" s="3" t="n">
        <v>8.0</v>
      </c>
      <c r="E72" s="4" t="s">
        <v>22</v>
      </c>
      <c r="F72" s="4" t="s">
        <v>23</v>
      </c>
      <c r="G72" s="4" t="s">
        <v>24</v>
      </c>
      <c r="H72" s="5" t="n">
        <f>6410.0</f>
        <v>6410.0</v>
      </c>
    </row>
    <row r="73">
      <c r="A73" s="3" t="s">
        <v>75</v>
      </c>
      <c r="B73" s="4" t="s">
        <v>92</v>
      </c>
      <c r="C73" s="4" t="s">
        <v>93</v>
      </c>
      <c r="D73" s="3" t="n">
        <v>9.0</v>
      </c>
      <c r="E73" s="4" t="s">
        <v>55</v>
      </c>
      <c r="F73" s="4" t="s">
        <v>56</v>
      </c>
      <c r="G73" s="4" t="s">
        <v>57</v>
      </c>
      <c r="H73" s="5" t="n">
        <f>5916.0</f>
        <v>5916.0</v>
      </c>
    </row>
    <row r="74">
      <c r="A74" s="3" t="s">
        <v>75</v>
      </c>
      <c r="B74" s="4" t="s">
        <v>92</v>
      </c>
      <c r="C74" s="4" t="s">
        <v>93</v>
      </c>
      <c r="D74" s="3" t="n">
        <v>10.0</v>
      </c>
      <c r="E74" s="4" t="s">
        <v>40</v>
      </c>
      <c r="F74" s="4" t="s">
        <v>41</v>
      </c>
      <c r="G74" s="4" t="s">
        <v>42</v>
      </c>
      <c r="H74" s="5" t="n">
        <f>4207.0</f>
        <v>4207.0</v>
      </c>
    </row>
    <row r="75">
      <c r="A75" s="3" t="s">
        <v>75</v>
      </c>
      <c r="B75" s="4" t="s">
        <v>92</v>
      </c>
      <c r="C75" s="4" t="s">
        <v>93</v>
      </c>
      <c r="D75" s="3" t="n">
        <v>11.0</v>
      </c>
      <c r="E75" s="4" t="s">
        <v>67</v>
      </c>
      <c r="F75" s="4" t="s">
        <v>68</v>
      </c>
      <c r="G75" s="4" t="s">
        <v>69</v>
      </c>
      <c r="H75" s="5" t="n">
        <f>3563.0</f>
        <v>3563.0</v>
      </c>
    </row>
    <row r="76">
      <c r="A76" s="3" t="s">
        <v>75</v>
      </c>
      <c r="B76" s="4" t="s">
        <v>92</v>
      </c>
      <c r="C76" s="4" t="s">
        <v>93</v>
      </c>
      <c r="D76" s="3" t="n">
        <v>12.0</v>
      </c>
      <c r="E76" s="4" t="s">
        <v>31</v>
      </c>
      <c r="F76" s="4" t="s">
        <v>32</v>
      </c>
      <c r="G76" s="4" t="s">
        <v>33</v>
      </c>
      <c r="H76" s="5" t="n">
        <f>2772.0</f>
        <v>2772.0</v>
      </c>
    </row>
    <row r="77">
      <c r="A77" s="3" t="s">
        <v>75</v>
      </c>
      <c r="B77" s="4" t="s">
        <v>92</v>
      </c>
      <c r="C77" s="4" t="s">
        <v>93</v>
      </c>
      <c r="D77" s="3" t="n">
        <v>13.0</v>
      </c>
      <c r="E77" s="4" t="s">
        <v>70</v>
      </c>
      <c r="F77" s="4" t="s">
        <v>71</v>
      </c>
      <c r="G77" s="4" t="s">
        <v>72</v>
      </c>
      <c r="H77" s="5" t="n">
        <f>2060.0</f>
        <v>2060.0</v>
      </c>
    </row>
    <row r="78">
      <c r="A78" s="3" t="s">
        <v>75</v>
      </c>
      <c r="B78" s="4" t="s">
        <v>92</v>
      </c>
      <c r="C78" s="4" t="s">
        <v>93</v>
      </c>
      <c r="D78" s="3" t="n">
        <v>14.0</v>
      </c>
      <c r="E78" s="4" t="s">
        <v>94</v>
      </c>
      <c r="F78" s="4" t="s">
        <v>95</v>
      </c>
      <c r="G78" s="4" t="s">
        <v>96</v>
      </c>
      <c r="H78" s="5" t="n">
        <f>1622.0</f>
        <v>1622.0</v>
      </c>
    </row>
    <row r="79">
      <c r="A79" s="3" t="s">
        <v>75</v>
      </c>
      <c r="B79" s="4" t="s">
        <v>92</v>
      </c>
      <c r="C79" s="4" t="s">
        <v>93</v>
      </c>
      <c r="D79" s="3" t="n">
        <v>15.0</v>
      </c>
      <c r="E79" s="4" t="s">
        <v>52</v>
      </c>
      <c r="F79" s="4" t="s">
        <v>53</v>
      </c>
      <c r="G79" s="4" t="s">
        <v>54</v>
      </c>
      <c r="H79" s="5" t="n">
        <f>1295.0</f>
        <v>1295.0</v>
      </c>
    </row>
    <row r="80">
      <c r="A80" s="3" t="s">
        <v>75</v>
      </c>
      <c r="B80" s="4" t="s">
        <v>92</v>
      </c>
      <c r="C80" s="4" t="s">
        <v>93</v>
      </c>
      <c r="D80" s="3" t="n">
        <v>16.0</v>
      </c>
      <c r="E80" s="4" t="s">
        <v>64</v>
      </c>
      <c r="F80" s="4" t="s">
        <v>65</v>
      </c>
      <c r="G80" s="4" t="s">
        <v>66</v>
      </c>
      <c r="H80" s="5" t="n">
        <f>1171.0</f>
        <v>1171.0</v>
      </c>
    </row>
    <row r="81">
      <c r="A81" s="3" t="s">
        <v>75</v>
      </c>
      <c r="B81" s="4" t="s">
        <v>92</v>
      </c>
      <c r="C81" s="4" t="s">
        <v>93</v>
      </c>
      <c r="D81" s="3" t="n">
        <v>17.0</v>
      </c>
      <c r="E81" s="4" t="s">
        <v>97</v>
      </c>
      <c r="F81" s="4" t="s">
        <v>98</v>
      </c>
      <c r="G81" s="4" t="s">
        <v>99</v>
      </c>
      <c r="H81" s="5" t="n">
        <f>1168.0</f>
        <v>1168.0</v>
      </c>
    </row>
    <row r="82">
      <c r="A82" s="3" t="s">
        <v>75</v>
      </c>
      <c r="B82" s="4" t="s">
        <v>92</v>
      </c>
      <c r="C82" s="4" t="s">
        <v>93</v>
      </c>
      <c r="D82" s="3" t="n">
        <v>18.0</v>
      </c>
      <c r="E82" s="4" t="s">
        <v>43</v>
      </c>
      <c r="F82" s="4" t="s">
        <v>44</v>
      </c>
      <c r="G82" s="4" t="s">
        <v>45</v>
      </c>
      <c r="H82" s="5" t="n">
        <f>1025.0</f>
        <v>1025.0</v>
      </c>
    </row>
    <row r="83">
      <c r="A83" s="3" t="s">
        <v>75</v>
      </c>
      <c r="B83" s="4" t="s">
        <v>92</v>
      </c>
      <c r="C83" s="4" t="s">
        <v>93</v>
      </c>
      <c r="D83" s="3" t="n">
        <v>19.0</v>
      </c>
      <c r="E83" s="4" t="s">
        <v>61</v>
      </c>
      <c r="F83" s="4" t="s">
        <v>62</v>
      </c>
      <c r="G83" s="4" t="s">
        <v>63</v>
      </c>
      <c r="H83" s="5" t="n">
        <f>885.0</f>
        <v>885.0</v>
      </c>
    </row>
    <row r="84">
      <c r="A84" s="3" t="s">
        <v>75</v>
      </c>
      <c r="B84" s="4" t="s">
        <v>92</v>
      </c>
      <c r="C84" s="4" t="s">
        <v>93</v>
      </c>
      <c r="D84" s="3" t="n">
        <v>20.0</v>
      </c>
      <c r="E84" s="4" t="s">
        <v>78</v>
      </c>
      <c r="F84" s="4" t="s">
        <v>79</v>
      </c>
      <c r="G84" s="4" t="s">
        <v>80</v>
      </c>
      <c r="H84" s="5" t="n">
        <f>733.0</f>
        <v>733.0</v>
      </c>
    </row>
    <row r="85">
      <c r="A85" s="3" t="s">
        <v>100</v>
      </c>
      <c r="B85" s="4" t="s">
        <v>101</v>
      </c>
      <c r="C85" s="4" t="s">
        <v>102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5549.0</f>
        <v>5549.0</v>
      </c>
    </row>
    <row r="86">
      <c r="A86" s="3" t="s">
        <v>100</v>
      </c>
      <c r="B86" s="4" t="s">
        <v>101</v>
      </c>
      <c r="C86" s="4" t="s">
        <v>102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4853.0</f>
        <v>4853.0</v>
      </c>
    </row>
    <row r="87">
      <c r="A87" s="3" t="s">
        <v>100</v>
      </c>
      <c r="B87" s="4" t="s">
        <v>101</v>
      </c>
      <c r="C87" s="4" t="s">
        <v>102</v>
      </c>
      <c r="D87" s="3" t="n">
        <v>3.0</v>
      </c>
      <c r="E87" s="4" t="s">
        <v>13</v>
      </c>
      <c r="F87" s="4" t="s">
        <v>14</v>
      </c>
      <c r="G87" s="4" t="s">
        <v>15</v>
      </c>
      <c r="H87" s="5" t="n">
        <f>4163.0</f>
        <v>4163.0</v>
      </c>
    </row>
    <row r="88">
      <c r="A88" s="3" t="s">
        <v>100</v>
      </c>
      <c r="B88" s="4" t="s">
        <v>101</v>
      </c>
      <c r="C88" s="4" t="s">
        <v>102</v>
      </c>
      <c r="D88" s="3" t="n">
        <v>4.0</v>
      </c>
      <c r="E88" s="4" t="s">
        <v>40</v>
      </c>
      <c r="F88" s="4" t="s">
        <v>41</v>
      </c>
      <c r="G88" s="4" t="s">
        <v>42</v>
      </c>
      <c r="H88" s="5" t="n">
        <f>1627.0</f>
        <v>1627.0</v>
      </c>
    </row>
    <row r="89">
      <c r="A89" s="3" t="s">
        <v>100</v>
      </c>
      <c r="B89" s="4" t="s">
        <v>101</v>
      </c>
      <c r="C89" s="4" t="s">
        <v>102</v>
      </c>
      <c r="D89" s="3" t="n">
        <v>5.0</v>
      </c>
      <c r="E89" s="4" t="s">
        <v>43</v>
      </c>
      <c r="F89" s="4" t="s">
        <v>44</v>
      </c>
      <c r="G89" s="4" t="s">
        <v>45</v>
      </c>
      <c r="H89" s="5" t="n">
        <f>1278.0</f>
        <v>1278.0</v>
      </c>
    </row>
    <row r="90">
      <c r="A90" s="3" t="s">
        <v>100</v>
      </c>
      <c r="B90" s="4" t="s">
        <v>101</v>
      </c>
      <c r="C90" s="4" t="s">
        <v>102</v>
      </c>
      <c r="D90" s="3" t="n">
        <v>6.0</v>
      </c>
      <c r="E90" s="4" t="s">
        <v>70</v>
      </c>
      <c r="F90" s="4" t="s">
        <v>71</v>
      </c>
      <c r="G90" s="4" t="s">
        <v>72</v>
      </c>
      <c r="H90" s="5" t="n">
        <f>940.0</f>
        <v>940.0</v>
      </c>
    </row>
    <row r="91">
      <c r="A91" s="3" t="s">
        <v>100</v>
      </c>
      <c r="B91" s="4" t="s">
        <v>101</v>
      </c>
      <c r="C91" s="4" t="s">
        <v>102</v>
      </c>
      <c r="D91" s="3" t="n">
        <v>7.0</v>
      </c>
      <c r="E91" s="4" t="s">
        <v>31</v>
      </c>
      <c r="F91" s="4" t="s">
        <v>32</v>
      </c>
      <c r="G91" s="4" t="s">
        <v>33</v>
      </c>
      <c r="H91" s="5" t="n">
        <f>872.0</f>
        <v>872.0</v>
      </c>
    </row>
    <row r="92">
      <c r="A92" s="3" t="s">
        <v>100</v>
      </c>
      <c r="B92" s="4" t="s">
        <v>101</v>
      </c>
      <c r="C92" s="4" t="s">
        <v>102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546.0</f>
        <v>546.0</v>
      </c>
    </row>
    <row r="93">
      <c r="A93" s="3" t="s">
        <v>100</v>
      </c>
      <c r="B93" s="4" t="s">
        <v>101</v>
      </c>
      <c r="C93" s="4" t="s">
        <v>102</v>
      </c>
      <c r="D93" s="3" t="n">
        <v>9.0</v>
      </c>
      <c r="E93" s="4" t="s">
        <v>64</v>
      </c>
      <c r="F93" s="4" t="s">
        <v>65</v>
      </c>
      <c r="G93" s="4" t="s">
        <v>66</v>
      </c>
      <c r="H93" s="5" t="n">
        <f>331.0</f>
        <v>331.0</v>
      </c>
    </row>
    <row r="94">
      <c r="A94" s="3" t="s">
        <v>100</v>
      </c>
      <c r="B94" s="4" t="s">
        <v>101</v>
      </c>
      <c r="C94" s="4" t="s">
        <v>102</v>
      </c>
      <c r="D94" s="3" t="n">
        <v>10.0</v>
      </c>
      <c r="E94" s="4" t="s">
        <v>58</v>
      </c>
      <c r="F94" s="4" t="s">
        <v>59</v>
      </c>
      <c r="G94" s="4" t="s">
        <v>60</v>
      </c>
      <c r="H94" s="5" t="n">
        <f>285.0</f>
        <v>285.0</v>
      </c>
    </row>
    <row r="95">
      <c r="A95" s="3" t="s">
        <v>100</v>
      </c>
      <c r="B95" s="4" t="s">
        <v>101</v>
      </c>
      <c r="C95" s="4" t="s">
        <v>102</v>
      </c>
      <c r="D95" s="3" t="n">
        <v>11.0</v>
      </c>
      <c r="E95" s="4" t="s">
        <v>52</v>
      </c>
      <c r="F95" s="4" t="s">
        <v>53</v>
      </c>
      <c r="G95" s="4" t="s">
        <v>54</v>
      </c>
      <c r="H95" s="5" t="n">
        <f>180.0</f>
        <v>180.0</v>
      </c>
    </row>
    <row r="96">
      <c r="A96" s="3" t="s">
        <v>100</v>
      </c>
      <c r="B96" s="4" t="s">
        <v>101</v>
      </c>
      <c r="C96" s="4" t="s">
        <v>102</v>
      </c>
      <c r="D96" s="3" t="n">
        <v>12.0</v>
      </c>
      <c r="E96" s="4" t="s">
        <v>34</v>
      </c>
      <c r="F96" s="4" t="s">
        <v>35</v>
      </c>
      <c r="G96" s="4" t="s">
        <v>36</v>
      </c>
      <c r="H96" s="5" t="n">
        <f>113.0</f>
        <v>113.0</v>
      </c>
    </row>
    <row r="97">
      <c r="A97" s="3" t="s">
        <v>100</v>
      </c>
      <c r="B97" s="4" t="s">
        <v>101</v>
      </c>
      <c r="C97" s="4" t="s">
        <v>102</v>
      </c>
      <c r="D97" s="3" t="n">
        <v>13.0</v>
      </c>
      <c r="E97" s="4" t="s">
        <v>37</v>
      </c>
      <c r="F97" s="4" t="s">
        <v>38</v>
      </c>
      <c r="G97" s="4" t="s">
        <v>39</v>
      </c>
      <c r="H97" s="5" t="n">
        <f>111.0</f>
        <v>111.0</v>
      </c>
    </row>
    <row r="98">
      <c r="A98" s="3" t="s">
        <v>100</v>
      </c>
      <c r="B98" s="4" t="s">
        <v>101</v>
      </c>
      <c r="C98" s="4" t="s">
        <v>102</v>
      </c>
      <c r="D98" s="3" t="n">
        <v>14.0</v>
      </c>
      <c r="E98" s="4" t="s">
        <v>94</v>
      </c>
      <c r="F98" s="4" t="s">
        <v>95</v>
      </c>
      <c r="G98" s="4" t="s">
        <v>96</v>
      </c>
      <c r="H98" s="5" t="n">
        <f>94.0</f>
        <v>94.0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46</v>
      </c>
      <c r="F99" s="4" t="s">
        <v>47</v>
      </c>
      <c r="G99" s="4" t="s">
        <v>48</v>
      </c>
      <c r="H99" s="5" t="n">
        <f>94.0</f>
        <v>94.0</v>
      </c>
    </row>
    <row r="100">
      <c r="A100" s="3" t="s">
        <v>100</v>
      </c>
      <c r="B100" s="4" t="s">
        <v>101</v>
      </c>
      <c r="C100" s="4" t="s">
        <v>102</v>
      </c>
      <c r="D100" s="3" t="n">
        <v>16.0</v>
      </c>
      <c r="E100" s="4" t="s">
        <v>28</v>
      </c>
      <c r="F100" s="4" t="s">
        <v>29</v>
      </c>
      <c r="G100" s="4" t="s">
        <v>30</v>
      </c>
      <c r="H100" s="5" t="n">
        <f>75.0</f>
        <v>75.0</v>
      </c>
    </row>
    <row r="101">
      <c r="A101" s="3" t="s">
        <v>100</v>
      </c>
      <c r="B101" s="4" t="s">
        <v>101</v>
      </c>
      <c r="C101" s="4" t="s">
        <v>102</v>
      </c>
      <c r="D101" s="3" t="n">
        <v>17.0</v>
      </c>
      <c r="E101" s="4" t="s">
        <v>49</v>
      </c>
      <c r="F101" s="4" t="s">
        <v>50</v>
      </c>
      <c r="G101" s="4" t="s">
        <v>51</v>
      </c>
      <c r="H101" s="5" t="n">
        <f>24.0</f>
        <v>24.0</v>
      </c>
    </row>
    <row r="102">
      <c r="A102" s="3" t="s">
        <v>100</v>
      </c>
      <c r="B102" s="4" t="s">
        <v>101</v>
      </c>
      <c r="C102" s="4" t="s">
        <v>102</v>
      </c>
      <c r="D102" s="3" t="n">
        <v>18.0</v>
      </c>
      <c r="E102" s="4" t="s">
        <v>55</v>
      </c>
      <c r="F102" s="4" t="s">
        <v>56</v>
      </c>
      <c r="G102" s="4" t="s">
        <v>57</v>
      </c>
      <c r="H102" s="5" t="n">
        <f>18.0</f>
        <v>18.0</v>
      </c>
    </row>
    <row r="103">
      <c r="A103" s="3" t="s">
        <v>100</v>
      </c>
      <c r="B103" s="4" t="s">
        <v>101</v>
      </c>
      <c r="C103" s="4" t="s">
        <v>102</v>
      </c>
      <c r="D103" s="3" t="n">
        <v>19.0</v>
      </c>
      <c r="E103" s="4" t="s">
        <v>103</v>
      </c>
      <c r="F103" s="4" t="s">
        <v>104</v>
      </c>
      <c r="G103" s="4" t="s">
        <v>105</v>
      </c>
      <c r="H103" s="5" t="n">
        <f>15.0</f>
        <v>15.0</v>
      </c>
    </row>
    <row r="104">
      <c r="A104" s="3" t="s">
        <v>100</v>
      </c>
      <c r="B104" s="4" t="s">
        <v>101</v>
      </c>
      <c r="C104" s="4" t="s">
        <v>102</v>
      </c>
      <c r="D104" s="3" t="n">
        <v>20.0</v>
      </c>
      <c r="E104" s="4" t="s">
        <v>106</v>
      </c>
      <c r="F104" s="4" t="s">
        <v>107</v>
      </c>
      <c r="G104" s="4" t="s">
        <v>108</v>
      </c>
      <c r="H104" s="5" t="n">
        <f>8.0</f>
        <v>8.0</v>
      </c>
    </row>
    <row r="105">
      <c r="A105" s="3" t="s">
        <v>109</v>
      </c>
      <c r="B105" s="4" t="s">
        <v>110</v>
      </c>
      <c r="C105" s="4" t="s">
        <v>111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12.0</f>
        <v>12.0</v>
      </c>
    </row>
    <row r="106">
      <c r="A106" s="3" t="s">
        <v>109</v>
      </c>
      <c r="B106" s="4" t="s">
        <v>110</v>
      </c>
      <c r="C106" s="4" t="s">
        <v>111</v>
      </c>
      <c r="D106" s="3" t="n">
        <v>2.0</v>
      </c>
      <c r="E106" s="4" t="s">
        <v>37</v>
      </c>
      <c r="F106" s="4" t="s">
        <v>38</v>
      </c>
      <c r="G106" s="4" t="s">
        <v>39</v>
      </c>
      <c r="H106" s="5" t="n">
        <f>5.0</f>
        <v>5.0</v>
      </c>
    </row>
    <row r="107">
      <c r="A107" s="3" t="s">
        <v>109</v>
      </c>
      <c r="B107" s="4" t="s">
        <v>110</v>
      </c>
      <c r="C107" s="4" t="s">
        <v>111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4.0</f>
        <v>4.0</v>
      </c>
    </row>
    <row r="108">
      <c r="A108" s="3" t="s">
        <v>109</v>
      </c>
      <c r="B108" s="4" t="s">
        <v>110</v>
      </c>
      <c r="C108" s="4" t="s">
        <v>111</v>
      </c>
      <c r="D108" s="3" t="n">
        <v>3.0</v>
      </c>
      <c r="E108" s="4" t="s">
        <v>25</v>
      </c>
      <c r="F108" s="4" t="s">
        <v>26</v>
      </c>
      <c r="G108" s="4" t="s">
        <v>27</v>
      </c>
      <c r="H108" s="5" t="n">
        <f>4.0</f>
        <v>4.0</v>
      </c>
    </row>
    <row r="109">
      <c r="A109" s="3" t="s">
        <v>109</v>
      </c>
      <c r="B109" s="4" t="s">
        <v>110</v>
      </c>
      <c r="C109" s="4" t="s">
        <v>111</v>
      </c>
      <c r="D109" s="3" t="n">
        <v>5.0</v>
      </c>
      <c r="E109" s="4" t="s">
        <v>49</v>
      </c>
      <c r="F109" s="4" t="s">
        <v>50</v>
      </c>
      <c r="G109" s="4" t="s">
        <v>51</v>
      </c>
      <c r="H109" s="5" t="n">
        <f>3.0</f>
        <v>3.0</v>
      </c>
    </row>
    <row r="110">
      <c r="A110" s="3" t="s">
        <v>109</v>
      </c>
      <c r="B110" s="4" t="s">
        <v>110</v>
      </c>
      <c r="C110" s="4" t="s">
        <v>111</v>
      </c>
      <c r="D110" s="3" t="n">
        <v>6.0</v>
      </c>
      <c r="E110" s="4" t="s">
        <v>55</v>
      </c>
      <c r="F110" s="4" t="s">
        <v>56</v>
      </c>
      <c r="G110" s="4" t="s">
        <v>57</v>
      </c>
      <c r="H110" s="5" t="n">
        <f>2.0</f>
        <v>2.0</v>
      </c>
    </row>
    <row r="111">
      <c r="A111" s="3" t="s">
        <v>109</v>
      </c>
      <c r="B111" s="4" t="s">
        <v>110</v>
      </c>
      <c r="C111" s="4" t="s">
        <v>111</v>
      </c>
      <c r="D111" s="3" t="n">
        <v>7.0</v>
      </c>
      <c r="E111" s="4" t="s">
        <v>67</v>
      </c>
      <c r="F111" s="4" t="s">
        <v>68</v>
      </c>
      <c r="G111" s="4" t="s">
        <v>69</v>
      </c>
      <c r="H111" s="5" t="n">
        <f>1.0</f>
        <v>1.0</v>
      </c>
    </row>
    <row r="112">
      <c r="A112" s="3" t="s">
        <v>109</v>
      </c>
      <c r="B112" s="4" t="s">
        <v>110</v>
      </c>
      <c r="C112" s="4" t="s">
        <v>111</v>
      </c>
      <c r="D112" s="3" t="n">
        <v>7.0</v>
      </c>
      <c r="E112" s="4" t="s">
        <v>58</v>
      </c>
      <c r="F112" s="4" t="s">
        <v>59</v>
      </c>
      <c r="G112" s="4" t="s">
        <v>60</v>
      </c>
      <c r="H112" s="5" t="n">
        <f>1.0</f>
        <v>1.0</v>
      </c>
    </row>
    <row r="113">
      <c r="A113" s="3" t="s">
        <v>109</v>
      </c>
      <c r="B113" s="4" t="s">
        <v>112</v>
      </c>
      <c r="C113" s="4" t="s">
        <v>113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2.0</f>
        <v>2.0</v>
      </c>
    </row>
    <row r="114">
      <c r="A114" s="3" t="s">
        <v>109</v>
      </c>
      <c r="B114" s="4" t="s">
        <v>112</v>
      </c>
      <c r="C114" s="4" t="s">
        <v>113</v>
      </c>
      <c r="D114" s="3" t="n">
        <v>2.0</v>
      </c>
      <c r="E114" s="4" t="s">
        <v>37</v>
      </c>
      <c r="F114" s="4" t="s">
        <v>38</v>
      </c>
      <c r="G114" s="4" t="s">
        <v>39</v>
      </c>
      <c r="H114" s="5" t="n">
        <f>1.0</f>
        <v>1.0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49</v>
      </c>
      <c r="F115" s="4" t="s">
        <v>50</v>
      </c>
      <c r="G115" s="4" t="s">
        <v>51</v>
      </c>
      <c r="H115" s="5" t="n">
        <f>1.0</f>
        <v>1.0</v>
      </c>
    </row>
    <row r="116">
      <c r="A116" s="3" t="s">
        <v>109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7.0</f>
        <v>7.0</v>
      </c>
    </row>
    <row r="117">
      <c r="A117" s="3" t="s">
        <v>109</v>
      </c>
      <c r="B117" s="4" t="s">
        <v>114</v>
      </c>
      <c r="C117" s="4" t="s">
        <v>115</v>
      </c>
      <c r="D117" s="3" t="n">
        <v>2.0</v>
      </c>
      <c r="E117" s="4" t="s">
        <v>37</v>
      </c>
      <c r="F117" s="4" t="s">
        <v>38</v>
      </c>
      <c r="G117" s="4" t="s">
        <v>39</v>
      </c>
      <c r="H117" s="5" t="n">
        <f>6.0</f>
        <v>6.0</v>
      </c>
    </row>
    <row r="118">
      <c r="A118" s="3" t="s">
        <v>109</v>
      </c>
      <c r="B118" s="4" t="s">
        <v>114</v>
      </c>
      <c r="C118" s="4" t="s">
        <v>115</v>
      </c>
      <c r="D118" s="3" t="n">
        <v>3.0</v>
      </c>
      <c r="E118" s="4" t="s">
        <v>25</v>
      </c>
      <c r="F118" s="4" t="s">
        <v>26</v>
      </c>
      <c r="G118" s="4" t="s">
        <v>27</v>
      </c>
      <c r="H118" s="5" t="n">
        <f>1.0</f>
        <v>1.0</v>
      </c>
    </row>
    <row r="119">
      <c r="A119" s="3" t="s">
        <v>109</v>
      </c>
      <c r="B119" s="4" t="s">
        <v>116</v>
      </c>
      <c r="C119" s="4" t="s">
        <v>117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32.0</f>
        <v>32.0</v>
      </c>
    </row>
    <row r="120">
      <c r="A120" s="3" t="s">
        <v>109</v>
      </c>
      <c r="B120" s="4" t="s">
        <v>116</v>
      </c>
      <c r="C120" s="4" t="s">
        <v>117</v>
      </c>
      <c r="D120" s="3" t="n">
        <v>2.0</v>
      </c>
      <c r="E120" s="4" t="s">
        <v>37</v>
      </c>
      <c r="F120" s="4" t="s">
        <v>38</v>
      </c>
      <c r="G120" s="4" t="s">
        <v>39</v>
      </c>
      <c r="H120" s="5" t="n">
        <f>23.0</f>
        <v>23.0</v>
      </c>
    </row>
    <row r="121">
      <c r="A121" s="3" t="s">
        <v>109</v>
      </c>
      <c r="B121" s="4" t="s">
        <v>116</v>
      </c>
      <c r="C121" s="4" t="s">
        <v>117</v>
      </c>
      <c r="D121" s="3" t="n">
        <v>3.0</v>
      </c>
      <c r="E121" s="4" t="s">
        <v>25</v>
      </c>
      <c r="F121" s="4" t="s">
        <v>26</v>
      </c>
      <c r="G121" s="4" t="s">
        <v>27</v>
      </c>
      <c r="H121" s="5" t="n">
        <f>6.0</f>
        <v>6.0</v>
      </c>
    </row>
    <row r="122">
      <c r="A122" s="3" t="s">
        <v>109</v>
      </c>
      <c r="B122" s="4" t="s">
        <v>116</v>
      </c>
      <c r="C122" s="4" t="s">
        <v>117</v>
      </c>
      <c r="D122" s="3" t="n">
        <v>4.0</v>
      </c>
      <c r="E122" s="4" t="s">
        <v>58</v>
      </c>
      <c r="F122" s="4" t="s">
        <v>59</v>
      </c>
      <c r="G122" s="4" t="s">
        <v>60</v>
      </c>
      <c r="H122" s="5" t="n">
        <f>5.0</f>
        <v>5.0</v>
      </c>
    </row>
    <row r="123">
      <c r="A123" s="3" t="s">
        <v>109</v>
      </c>
      <c r="B123" s="4" t="s">
        <v>116</v>
      </c>
      <c r="C123" s="4" t="s">
        <v>117</v>
      </c>
      <c r="D123" s="3" t="n">
        <v>5.0</v>
      </c>
      <c r="E123" s="4" t="s">
        <v>55</v>
      </c>
      <c r="F123" s="4" t="s">
        <v>56</v>
      </c>
      <c r="G123" s="4" t="s">
        <v>57</v>
      </c>
      <c r="H123" s="5" t="n">
        <f>4.0</f>
        <v>4.0</v>
      </c>
    </row>
    <row r="124">
      <c r="A124" s="3" t="s">
        <v>109</v>
      </c>
      <c r="B124" s="4" t="s">
        <v>116</v>
      </c>
      <c r="C124" s="4" t="s">
        <v>117</v>
      </c>
      <c r="D124" s="3" t="n">
        <v>6.0</v>
      </c>
      <c r="E124" s="4" t="s">
        <v>118</v>
      </c>
      <c r="F124" s="4" t="s">
        <v>119</v>
      </c>
      <c r="G124" s="4" t="s">
        <v>120</v>
      </c>
      <c r="H124" s="5" t="n">
        <f>2.0</f>
        <v>2.0</v>
      </c>
    </row>
    <row r="125">
      <c r="A125" s="3" t="s">
        <v>109</v>
      </c>
      <c r="B125" s="4" t="s">
        <v>116</v>
      </c>
      <c r="C125" s="4" t="s">
        <v>117</v>
      </c>
      <c r="D125" s="3" t="n">
        <v>6.0</v>
      </c>
      <c r="E125" s="4" t="s">
        <v>49</v>
      </c>
      <c r="F125" s="4" t="s">
        <v>50</v>
      </c>
      <c r="G125" s="4" t="s">
        <v>51</v>
      </c>
      <c r="H125" s="5" t="n">
        <f>2.0</f>
        <v>2.0</v>
      </c>
    </row>
    <row r="126">
      <c r="A126" s="3" t="s">
        <v>109</v>
      </c>
      <c r="B126" s="4" t="s">
        <v>121</v>
      </c>
      <c r="C126" s="4" t="s">
        <v>122</v>
      </c>
      <c r="D126" s="3" t="n">
        <v>1.0</v>
      </c>
      <c r="E126" s="4" t="s">
        <v>55</v>
      </c>
      <c r="F126" s="4" t="s">
        <v>56</v>
      </c>
      <c r="G126" s="4" t="s">
        <v>57</v>
      </c>
      <c r="H126" s="5" t="n">
        <f>1.0</f>
        <v>1.0</v>
      </c>
    </row>
    <row r="127">
      <c r="A127" s="3" t="s">
        <v>109</v>
      </c>
      <c r="B127" s="4" t="s">
        <v>121</v>
      </c>
      <c r="C127" s="4" t="s">
        <v>122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1.0</f>
        <v>1.0</v>
      </c>
    </row>
    <row r="128">
      <c r="A128" s="3" t="s">
        <v>109</v>
      </c>
      <c r="B128" s="4" t="s">
        <v>123</v>
      </c>
      <c r="C128" s="4" t="s">
        <v>124</v>
      </c>
      <c r="D128" s="3" t="n">
        <v>1.0</v>
      </c>
      <c r="E128" s="4" t="s">
        <v>37</v>
      </c>
      <c r="F128" s="4" t="s">
        <v>38</v>
      </c>
      <c r="G128" s="4" t="s">
        <v>39</v>
      </c>
      <c r="H128" s="5" t="n">
        <f>2.0</f>
        <v>2.0</v>
      </c>
    </row>
    <row r="129">
      <c r="A129" s="3" t="s">
        <v>109</v>
      </c>
      <c r="B129" s="4" t="s">
        <v>123</v>
      </c>
      <c r="C129" s="4" t="s">
        <v>124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109</v>
      </c>
      <c r="B130" s="4" t="s">
        <v>123</v>
      </c>
      <c r="C130" s="4" t="s">
        <v>124</v>
      </c>
      <c r="D130" s="3" t="n">
        <v>3.0</v>
      </c>
      <c r="E130" s="4" t="s">
        <v>58</v>
      </c>
      <c r="F130" s="4" t="s">
        <v>59</v>
      </c>
      <c r="G130" s="4" t="s">
        <v>60</v>
      </c>
      <c r="H130" s="5" t="n">
        <f>1.0</f>
        <v>1.0</v>
      </c>
    </row>
    <row r="131">
      <c r="A131" s="3" t="s">
        <v>109</v>
      </c>
      <c r="B131" s="4" t="s">
        <v>123</v>
      </c>
      <c r="C131" s="4" t="s">
        <v>124</v>
      </c>
      <c r="D131" s="3" t="n">
        <v>3.0</v>
      </c>
      <c r="E131" s="4" t="s">
        <v>49</v>
      </c>
      <c r="F131" s="4" t="s">
        <v>50</v>
      </c>
      <c r="G131" s="4" t="s">
        <v>51</v>
      </c>
      <c r="H131" s="5" t="n">
        <f>1.0</f>
        <v>1.0</v>
      </c>
    </row>
    <row r="132">
      <c r="A132" s="3" t="s">
        <v>109</v>
      </c>
      <c r="B132" s="4" t="s">
        <v>125</v>
      </c>
      <c r="C132" s="4" t="s">
        <v>126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1.0</f>
        <v>1.0</v>
      </c>
    </row>
    <row r="133">
      <c r="A133" s="3" t="s">
        <v>109</v>
      </c>
      <c r="B133" s="4" t="s">
        <v>125</v>
      </c>
      <c r="C133" s="4" t="s">
        <v>126</v>
      </c>
      <c r="D133" s="3" t="n">
        <v>1.0</v>
      </c>
      <c r="E133" s="4" t="s">
        <v>49</v>
      </c>
      <c r="F133" s="4" t="s">
        <v>50</v>
      </c>
      <c r="G133" s="4" t="s">
        <v>51</v>
      </c>
      <c r="H133" s="5" t="n">
        <f>1.0</f>
        <v>1.0</v>
      </c>
    </row>
    <row r="134">
      <c r="A134" s="3" t="s">
        <v>109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53.0</f>
        <v>53.0</v>
      </c>
    </row>
    <row r="135">
      <c r="A135" s="3" t="s">
        <v>109</v>
      </c>
      <c r="B135" s="4" t="s">
        <v>127</v>
      </c>
      <c r="C135" s="4" t="s">
        <v>128</v>
      </c>
      <c r="D135" s="3" t="n">
        <v>2.0</v>
      </c>
      <c r="E135" s="4" t="s">
        <v>70</v>
      </c>
      <c r="F135" s="4" t="s">
        <v>71</v>
      </c>
      <c r="G135" s="4" t="s">
        <v>72</v>
      </c>
      <c r="H135" s="5" t="n">
        <f>49.0</f>
        <v>49.0</v>
      </c>
    </row>
    <row r="136">
      <c r="A136" s="3" t="s">
        <v>109</v>
      </c>
      <c r="B136" s="4" t="s">
        <v>127</v>
      </c>
      <c r="C136" s="4" t="s">
        <v>128</v>
      </c>
      <c r="D136" s="3" t="n">
        <v>3.0</v>
      </c>
      <c r="E136" s="4" t="s">
        <v>58</v>
      </c>
      <c r="F136" s="4" t="s">
        <v>59</v>
      </c>
      <c r="G136" s="4" t="s">
        <v>60</v>
      </c>
      <c r="H136" s="5" t="n">
        <f>10.0</f>
        <v>10.0</v>
      </c>
    </row>
    <row r="137">
      <c r="A137" s="3" t="s">
        <v>109</v>
      </c>
      <c r="B137" s="4" t="s">
        <v>127</v>
      </c>
      <c r="C137" s="4" t="s">
        <v>128</v>
      </c>
      <c r="D137" s="3" t="n">
        <v>4.0</v>
      </c>
      <c r="E137" s="4" t="s">
        <v>25</v>
      </c>
      <c r="F137" s="4" t="s">
        <v>26</v>
      </c>
      <c r="G137" s="4" t="s">
        <v>27</v>
      </c>
      <c r="H137" s="5" t="n">
        <f>8.0</f>
        <v>8.0</v>
      </c>
    </row>
    <row r="138">
      <c r="A138" s="3" t="s">
        <v>109</v>
      </c>
      <c r="B138" s="4" t="s">
        <v>127</v>
      </c>
      <c r="C138" s="4" t="s">
        <v>128</v>
      </c>
      <c r="D138" s="3" t="n">
        <v>5.0</v>
      </c>
      <c r="E138" s="4" t="s">
        <v>49</v>
      </c>
      <c r="F138" s="4" t="s">
        <v>50</v>
      </c>
      <c r="G138" s="4" t="s">
        <v>51</v>
      </c>
      <c r="H138" s="5" t="n">
        <f>4.0</f>
        <v>4.0</v>
      </c>
    </row>
    <row r="139">
      <c r="A139" s="3" t="s">
        <v>109</v>
      </c>
      <c r="B139" s="4" t="s">
        <v>127</v>
      </c>
      <c r="C139" s="4" t="s">
        <v>128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2.0</f>
        <v>2.0</v>
      </c>
    </row>
    <row r="140">
      <c r="A140" s="3" t="s">
        <v>109</v>
      </c>
      <c r="B140" s="4" t="s">
        <v>127</v>
      </c>
      <c r="C140" s="4" t="s">
        <v>128</v>
      </c>
      <c r="D140" s="3" t="n">
        <v>6.0</v>
      </c>
      <c r="E140" s="4" t="s">
        <v>37</v>
      </c>
      <c r="F140" s="4" t="s">
        <v>38</v>
      </c>
      <c r="G140" s="4" t="s">
        <v>39</v>
      </c>
      <c r="H140" s="5" t="n">
        <f>2.0</f>
        <v>2.0</v>
      </c>
    </row>
    <row r="141">
      <c r="A141" s="3" t="s">
        <v>109</v>
      </c>
      <c r="B141" s="4" t="s">
        <v>127</v>
      </c>
      <c r="C141" s="4" t="s">
        <v>128</v>
      </c>
      <c r="D141" s="3" t="n">
        <v>6.0</v>
      </c>
      <c r="E141" s="4" t="s">
        <v>67</v>
      </c>
      <c r="F141" s="4" t="s">
        <v>68</v>
      </c>
      <c r="G141" s="4" t="s">
        <v>69</v>
      </c>
      <c r="H141" s="5" t="n">
        <f>2.0</f>
        <v>2.0</v>
      </c>
    </row>
    <row r="142">
      <c r="A142" s="3" t="s">
        <v>109</v>
      </c>
      <c r="B142" s="4" t="s">
        <v>127</v>
      </c>
      <c r="C142" s="4" t="s">
        <v>128</v>
      </c>
      <c r="D142" s="3" t="n">
        <v>9.0</v>
      </c>
      <c r="E142" s="4" t="s">
        <v>118</v>
      </c>
      <c r="F142" s="4" t="s">
        <v>119</v>
      </c>
      <c r="G142" s="4" t="s">
        <v>120</v>
      </c>
      <c r="H142" s="5" t="n">
        <f>1.0</f>
        <v>1.0</v>
      </c>
    </row>
    <row r="143">
      <c r="A143" s="3" t="s">
        <v>109</v>
      </c>
      <c r="B143" s="4" t="s">
        <v>127</v>
      </c>
      <c r="C143" s="4" t="s">
        <v>128</v>
      </c>
      <c r="D143" s="3" t="n">
        <v>9.0</v>
      </c>
      <c r="E143" s="4" t="s">
        <v>61</v>
      </c>
      <c r="F143" s="4" t="s">
        <v>62</v>
      </c>
      <c r="G143" s="4" t="s">
        <v>63</v>
      </c>
      <c r="H143" s="5" t="n">
        <f>1.0</f>
        <v>1.0</v>
      </c>
    </row>
    <row r="144">
      <c r="A144" s="3" t="s">
        <v>109</v>
      </c>
      <c r="B144" s="4" t="s">
        <v>129</v>
      </c>
      <c r="C144" s="4" t="s">
        <v>130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2.0</f>
        <v>2.0</v>
      </c>
    </row>
    <row r="145">
      <c r="A145" s="3" t="s">
        <v>109</v>
      </c>
      <c r="B145" s="4" t="s">
        <v>129</v>
      </c>
      <c r="C145" s="4" t="s">
        <v>130</v>
      </c>
      <c r="D145" s="3" t="n">
        <v>2.0</v>
      </c>
      <c r="E145" s="4" t="s">
        <v>37</v>
      </c>
      <c r="F145" s="4" t="s">
        <v>38</v>
      </c>
      <c r="G145" s="4" t="s">
        <v>39</v>
      </c>
      <c r="H145" s="5" t="n">
        <f>1.0</f>
        <v>1.0</v>
      </c>
    </row>
    <row r="146">
      <c r="A146" s="3" t="s">
        <v>109</v>
      </c>
      <c r="B146" s="4" t="s">
        <v>129</v>
      </c>
      <c r="C146" s="4" t="s">
        <v>130</v>
      </c>
      <c r="D146" s="3" t="n">
        <v>2.0</v>
      </c>
      <c r="E146" s="4" t="s">
        <v>67</v>
      </c>
      <c r="F146" s="4" t="s">
        <v>68</v>
      </c>
      <c r="G146" s="4" t="s">
        <v>69</v>
      </c>
      <c r="H146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