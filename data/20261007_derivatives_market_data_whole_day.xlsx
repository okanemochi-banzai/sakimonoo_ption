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<sst xmlns="http://schemas.openxmlformats.org/spreadsheetml/2006/main" count="528" uniqueCount="129">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</sst>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DATE(2026,10,07)</f>
        <v>46302.0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DATE(2026,10,07)</f>
        <v>46302.0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630401.0</f>
        <v>630401.0</v>
      </c>
      <c r="E12" s="18" t="n">
        <f>33483.0</f>
        <v>33483.0</v>
      </c>
      <c r="F12" s="19" t="n">
        <f>1.0</f>
        <v>1.0</v>
      </c>
      <c r="G12" s="17" t="n">
        <f>4457414797840.0</f>
        <v>4.45741479784E12</v>
      </c>
      <c r="H12" s="18" t="n">
        <f>378649724740.0</f>
        <v>3.7864972474E11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327185.0</f>
        <v>327185.0</v>
      </c>
      <c r="E13" s="22" t="n">
        <f>28190.0</f>
        <v>28190.0</v>
      </c>
      <c r="F13" s="23" t="n">
        <f>1.0</f>
        <v>1.0</v>
      </c>
      <c r="G13" s="21" t="n">
        <f>4078836439608.0</f>
        <v>4.078836439608E12</v>
      </c>
      <c r="H13" s="22" t="n">
        <f>656404354008.0</f>
        <v>6.56404354008E11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415586.0</f>
        <v>415586.0</v>
      </c>
      <c r="E14" s="22" t="n">
        <f>54155.0</f>
        <v>54155.0</v>
      </c>
      <c r="F14" s="23" t="n">
        <f>1.0</f>
        <v>1.0</v>
      </c>
      <c r="G14" s="21" t="n">
        <f>5491145490276.0</f>
        <v>5.491145490276E12</v>
      </c>
      <c r="H14" s="22" t="n">
        <f>1400500297851.0</f>
        <v>1.400500297851E12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1373172.0</f>
        <v>1373172.0</v>
      </c>
      <c r="E15" s="26" t="n">
        <f>115828.0</f>
        <v>115828.0</v>
      </c>
      <c r="F15" s="27" t="n">
        <f>1.0</f>
        <v>1.0</v>
      </c>
      <c r="G15" s="25" t="n">
        <f>14027396727724.0</f>
        <v>1.4027396727724E13</v>
      </c>
      <c r="H15" s="26" t="n">
        <f>2435554376599.0</f>
        <v>2.435554376599E12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8756.0</f>
        <v>8756.0</v>
      </c>
      <c r="E16" s="18" t="n">
        <f>307.0</f>
        <v>307.0</v>
      </c>
      <c r="F16" s="19" t="n">
        <f>0.014</f>
        <v>0.014</v>
      </c>
      <c r="G16" s="17" t="n">
        <f>1082812203750.0</f>
        <v>1.08281220375E12</v>
      </c>
      <c r="H16" s="18" t="n">
        <f>38167870000.0</f>
        <v>3.816787E10</v>
      </c>
      <c r="I16" s="19" t="n">
        <f>0.243</f>
        <v>0.243</v>
      </c>
    </row>
    <row r="17" spans="1:9" ht="24.9" customHeight="1">
      <c r="A17" s="41"/>
      <c r="B17" s="39"/>
      <c r="C17" s="20" t="s">
        <v>16</v>
      </c>
      <c r="D17" s="21" t="n">
        <f>16105.0</f>
        <v>16105.0</v>
      </c>
      <c r="E17" s="22" t="n">
        <f>2200.0</f>
        <v>2200.0</v>
      </c>
      <c r="F17" s="23" t="n">
        <f>0.049</f>
        <v>0.049</v>
      </c>
      <c r="G17" s="21" t="n">
        <f>1725551662500.0</f>
        <v>1.7255516625E12</v>
      </c>
      <c r="H17" s="22" t="n">
        <f>273476270000.0</f>
        <v>2.7347627E11</v>
      </c>
      <c r="I17" s="23" t="n">
        <f>0.423</f>
        <v>0.423</v>
      </c>
    </row>
    <row r="18" spans="1:9" ht="24.9" customHeight="1">
      <c r="A18" s="41"/>
      <c r="B18" s="39"/>
      <c r="C18" s="20" t="s">
        <v>17</v>
      </c>
      <c r="D18" s="21" t="n">
        <f>13699.0</f>
        <v>13699.0</v>
      </c>
      <c r="E18" s="22" t="n">
        <f>1543.0</f>
        <v>1543.0</v>
      </c>
      <c r="F18" s="23" t="n">
        <f>0.033</f>
        <v>0.033</v>
      </c>
      <c r="G18" s="21" t="n">
        <f>1489480712625.0</f>
        <v>1.489480712625E12</v>
      </c>
      <c r="H18" s="22" t="n">
        <f>191678190000.0</f>
        <v>1.9167819E11</v>
      </c>
      <c r="I18" s="23" t="n">
        <f>0.271</f>
        <v>0.271</v>
      </c>
    </row>
    <row r="19" spans="1:9" ht="24.9" customHeight="1">
      <c r="A19" s="41"/>
      <c r="B19" s="39"/>
      <c r="C19" s="24" t="s">
        <v>18</v>
      </c>
      <c r="D19" s="25" t="n">
        <f>38560.0</f>
        <v>38560.0</v>
      </c>
      <c r="E19" s="26" t="n">
        <f>4050.0</f>
        <v>4050.0</v>
      </c>
      <c r="F19" s="27" t="n">
        <f>0.028</f>
        <v>0.028</v>
      </c>
      <c r="G19" s="25" t="n">
        <f>4297844578875.0</f>
        <v>4.297844578875E12</v>
      </c>
      <c r="H19" s="26" t="n">
        <f>503322330000.0</f>
        <v>5.0332233E11</v>
      </c>
      <c r="I19" s="27" t="n">
        <f>0.306</f>
        <v>0.306</v>
      </c>
    </row>
    <row r="20" spans="1:9" ht="24.9" customHeight="1">
      <c r="A20" s="41"/>
      <c r="B20" s="39" t="s">
        <v>21</v>
      </c>
      <c r="C20" s="16" t="s">
        <v>15</v>
      </c>
      <c r="D20" s="17" t="n">
        <f>611259.0</f>
        <v>611259.0</v>
      </c>
      <c r="E20" s="18" t="n">
        <f>33176.0</f>
        <v>33176.0</v>
      </c>
      <c r="F20" s="19" t="n">
        <f>0.97</f>
        <v>0.97</v>
      </c>
      <c r="G20" s="17" t="n">
        <f>3277968301140.0</f>
        <v>3.27796830114E12</v>
      </c>
      <c r="H20" s="18" t="n">
        <f>340481854740.0</f>
        <v>3.4048185474E11</v>
      </c>
      <c r="I20" s="19" t="n">
        <f>0.735</f>
        <v>0.735</v>
      </c>
    </row>
    <row r="21" spans="1:9" ht="24.9" customHeight="1">
      <c r="A21" s="41"/>
      <c r="B21" s="39"/>
      <c r="C21" s="20" t="s">
        <v>16</v>
      </c>
      <c r="D21" s="21" t="n">
        <f>306427.0</f>
        <v>306427.0</v>
      </c>
      <c r="E21" s="22" t="n">
        <f>25890.0</f>
        <v>25890.0</v>
      </c>
      <c r="F21" s="23" t="n">
        <f>0.937</f>
        <v>0.937</v>
      </c>
      <c r="G21" s="21" t="n">
        <f>2317994236608.0</f>
        <v>2.317994236608E12</v>
      </c>
      <c r="H21" s="22" t="n">
        <f>382745804008.0</f>
        <v>3.82745804008E11</v>
      </c>
      <c r="I21" s="23" t="n">
        <f>0.568</f>
        <v>0.568</v>
      </c>
    </row>
    <row r="22" spans="1:9" ht="24.9" customHeight="1">
      <c r="A22" s="41"/>
      <c r="B22" s="39"/>
      <c r="C22" s="20" t="s">
        <v>17</v>
      </c>
      <c r="D22" s="21" t="n">
        <f>388313.0</f>
        <v>388313.0</v>
      </c>
      <c r="E22" s="22" t="n">
        <f>52612.0</f>
        <v>52612.0</v>
      </c>
      <c r="F22" s="23" t="n">
        <f>0.934</f>
        <v>0.934</v>
      </c>
      <c r="G22" s="21" t="n">
        <f>3921782120201.0</f>
        <v>3.921782120201E12</v>
      </c>
      <c r="H22" s="22" t="n">
        <f>1208822107851.0</f>
        <v>1.208822107851E12</v>
      </c>
      <c r="I22" s="23" t="n">
        <f>0.714</f>
        <v>0.714</v>
      </c>
    </row>
    <row r="23" spans="1:9" ht="24.9" customHeight="1">
      <c r="A23" s="41"/>
      <c r="B23" s="39"/>
      <c r="C23" s="24" t="s">
        <v>18</v>
      </c>
      <c r="D23" s="25" t="n">
        <f>1305999.0</f>
        <v>1305999.0</v>
      </c>
      <c r="E23" s="26" t="n">
        <f>111678.0</f>
        <v>111678.0</v>
      </c>
      <c r="F23" s="27" t="n">
        <f>0.951</f>
        <v>0.951</v>
      </c>
      <c r="G23" s="25" t="n">
        <f>9517744657949.0</f>
        <v>9.517744657949E12</v>
      </c>
      <c r="H23" s="26" t="n">
        <f>1932049766599.0</f>
        <v>1.932049766599E12</v>
      </c>
      <c r="I23" s="27" t="n">
        <f>0.679</f>
        <v>0.679</v>
      </c>
    </row>
    <row r="24" spans="1:9" ht="24.9" customHeight="1">
      <c r="A24" s="41"/>
      <c r="B24" s="39" t="s">
        <v>22</v>
      </c>
      <c r="C24" s="16" t="s">
        <v>15</v>
      </c>
      <c r="D24" s="17" t="n">
        <f>10090.0</f>
        <v>10090.0</v>
      </c>
      <c r="E24" s="18" t="n">
        <f>0.0</f>
        <v>0.0</v>
      </c>
      <c r="F24" s="19" t="n">
        <f>0.016</f>
        <v>0.016</v>
      </c>
      <c r="G24" s="17" t="n">
        <f>95300202450.0</f>
        <v>9.530020245E10</v>
      </c>
      <c r="H24" s="18" t="n">
        <f>0.0</f>
        <v>0.0</v>
      </c>
      <c r="I24" s="19" t="n">
        <f>0.021</f>
        <v>0.021</v>
      </c>
    </row>
    <row r="25" spans="1:9" ht="24.9" customHeight="1">
      <c r="A25" s="41"/>
      <c r="B25" s="39"/>
      <c r="C25" s="20" t="s">
        <v>16</v>
      </c>
      <c r="D25" s="21" t="n">
        <f>4411.0</f>
        <v>4411.0</v>
      </c>
      <c r="E25" s="22" t="n">
        <f>0.0</f>
        <v>0.0</v>
      </c>
      <c r="F25" s="23" t="n">
        <f>0.013</f>
        <v>0.013</v>
      </c>
      <c r="G25" s="21" t="n">
        <f>34465371500.0</f>
        <v>3.44653715E10</v>
      </c>
      <c r="H25" s="22" t="n">
        <f>0.0</f>
        <v>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9648.0</f>
        <v>9648.0</v>
      </c>
      <c r="E26" s="22" t="n">
        <f>0.0</f>
        <v>0.0</v>
      </c>
      <c r="F26" s="23" t="n">
        <f>0.023</f>
        <v>0.023</v>
      </c>
      <c r="G26" s="21" t="n">
        <f>62160286950.0</f>
        <v>6.216028695E10</v>
      </c>
      <c r="H26" s="22" t="n">
        <f>0.0</f>
        <v>0.0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24149.0</f>
        <v>24149.0</v>
      </c>
      <c r="E27" s="26" t="n">
        <f>0.0</f>
        <v>0.0</v>
      </c>
      <c r="F27" s="27" t="n">
        <f>0.018</f>
        <v>0.018</v>
      </c>
      <c r="G27" s="25" t="n">
        <f>191925860900.0</f>
        <v>1.919258609E11</v>
      </c>
      <c r="H27" s="26" t="n">
        <f>0.0</f>
        <v>0.0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296.0</f>
        <v>296.0</v>
      </c>
      <c r="E28" s="18" t="n">
        <f>0.0</f>
        <v>0.0</v>
      </c>
      <c r="F28" s="19" t="n">
        <f>0.0</f>
        <v>0.0</v>
      </c>
      <c r="G28" s="17" t="n">
        <f>1334090500.0</f>
        <v>1.3340905E9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242.0</f>
        <v>242.0</v>
      </c>
      <c r="E29" s="22" t="n">
        <f>100.0</f>
        <v>100.0</v>
      </c>
      <c r="F29" s="23" t="n">
        <f>0.001</f>
        <v>0.001</v>
      </c>
      <c r="G29" s="21" t="n">
        <f>825169000.0</f>
        <v>8.25169E8</v>
      </c>
      <c r="H29" s="22" t="n">
        <f>182280000.0</f>
        <v>1.8228E8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3926.0</f>
        <v>3926.0</v>
      </c>
      <c r="E30" s="22" t="n">
        <f>0.0</f>
        <v>0.0</v>
      </c>
      <c r="F30" s="23" t="n">
        <f>0.009</f>
        <v>0.009</v>
      </c>
      <c r="G30" s="21" t="n">
        <f>17722370500.0</f>
        <v>1.77223705E10</v>
      </c>
      <c r="H30" s="22" t="n">
        <f>0.0</f>
        <v>0.0</v>
      </c>
      <c r="I30" s="23" t="n">
        <f>0.003</f>
        <v>0.003</v>
      </c>
    </row>
    <row r="31" spans="1:9" ht="24.9" customHeight="1">
      <c r="A31" s="38"/>
      <c r="B31" s="39"/>
      <c r="C31" s="24" t="s">
        <v>18</v>
      </c>
      <c r="D31" s="25" t="n">
        <f>4464.0</f>
        <v>4464.0</v>
      </c>
      <c r="E31" s="26" t="n">
        <f>100.0</f>
        <v>100.0</v>
      </c>
      <c r="F31" s="27" t="n">
        <f>0.003</f>
        <v>0.003</v>
      </c>
      <c r="G31" s="25" t="n">
        <f>19881630000.0</f>
        <v>1.988163E10</v>
      </c>
      <c r="H31" s="26" t="n">
        <f>182280000.0</f>
        <v>1.8228E8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46302.0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46302.0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21851</f>
        <v>21851.0</v>
      </c>
      <c r="E11" s="18" t="n">
        <f>4637</f>
        <v>4637.0</v>
      </c>
      <c r="F11" s="19" t="n">
        <f>1</f>
        <v>1.0</v>
      </c>
      <c r="G11" s="17" t="n">
        <f>5014672793</f>
        <v>5.014672793E9</v>
      </c>
      <c r="H11" s="18" t="n">
        <f>3218762193</f>
        <v>3.218762193E9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19156</f>
        <v>19156.0</v>
      </c>
      <c r="E12" s="22" t="n">
        <f>5419</f>
        <v>5419.0</v>
      </c>
      <c r="F12" s="23" t="n">
        <f>1</f>
        <v>1.0</v>
      </c>
      <c r="G12" s="21" t="n">
        <f>4761132996</f>
        <v>4.761132996E9</v>
      </c>
      <c r="H12" s="22" t="n">
        <f>3385182625</f>
        <v>3.385182625E9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59257</f>
        <v>59257.0</v>
      </c>
      <c r="E13" s="22" t="n">
        <f>25963</f>
        <v>25963.0</v>
      </c>
      <c r="F13" s="23" t="n">
        <f>1</f>
        <v>1.0</v>
      </c>
      <c r="G13" s="21" t="n">
        <f>25018783460</f>
        <v>2.501878346E10</v>
      </c>
      <c r="H13" s="22" t="n">
        <f>22413764310</f>
        <v>2.241376431E10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100264</f>
        <v>100264.0</v>
      </c>
      <c r="E14" s="26" t="n">
        <f>36019</f>
        <v>36019.0</v>
      </c>
      <c r="F14" s="27" t="n">
        <f>1</f>
        <v>1.0</v>
      </c>
      <c r="G14" s="25" t="n">
        <f>34794589249</f>
        <v>3.4794589249E10</v>
      </c>
      <c r="H14" s="26" t="n">
        <f>29017709128</f>
        <v>2.9017709128E10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10</f>
        <v>10.0</v>
      </c>
      <c r="E15" s="18" t="n">
        <f>0</f>
        <v>0.0</v>
      </c>
      <c r="F15" s="19" t="n">
        <f>0</f>
        <v>0.0</v>
      </c>
      <c r="G15" s="17" t="n">
        <f>4750000</f>
        <v>4750000.0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10</f>
        <v>10.0</v>
      </c>
      <c r="E16" s="22" t="n">
        <f>0</f>
        <v>0.0</v>
      </c>
      <c r="F16" s="23" t="n">
        <f>0.001</f>
        <v>0.001</v>
      </c>
      <c r="G16" s="21" t="n">
        <f>4100000</f>
        <v>4100000.0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65</f>
        <v>65.0</v>
      </c>
      <c r="E17" s="22" t="n">
        <f>0</f>
        <v>0.0</v>
      </c>
      <c r="F17" s="23" t="n">
        <f>0.001</f>
        <v>0.001</v>
      </c>
      <c r="G17" s="21" t="n">
        <f>8100000</f>
        <v>8100000.0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85</f>
        <v>85.0</v>
      </c>
      <c r="E18" s="26" t="n">
        <f>0</f>
        <v>0.0</v>
      </c>
      <c r="F18" s="27" t="n">
        <f>0.001</f>
        <v>0.001</v>
      </c>
      <c r="G18" s="25" t="n">
        <f>16950000</f>
        <v>1.695E7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21841</f>
        <v>21841.0</v>
      </c>
      <c r="E19" s="18" t="n">
        <f>4637</f>
        <v>4637.0</v>
      </c>
      <c r="F19" s="19" t="n">
        <f>1</f>
        <v>1.0</v>
      </c>
      <c r="G19" s="17" t="n">
        <f>5009922793</f>
        <v>5.009922793E9</v>
      </c>
      <c r="H19" s="18" t="n">
        <f>3218762193</f>
        <v>3.218762193E9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17812</f>
        <v>17812.0</v>
      </c>
      <c r="E20" s="22" t="n">
        <f>5419</f>
        <v>5419.0</v>
      </c>
      <c r="F20" s="23" t="n">
        <f>0.93</f>
        <v>0.93</v>
      </c>
      <c r="G20" s="21" t="n">
        <f>4744175925</f>
        <v>4.744175925E9</v>
      </c>
      <c r="H20" s="22" t="n">
        <f>3385182625</f>
        <v>3.385182625E9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47516</f>
        <v>47516.0</v>
      </c>
      <c r="E21" s="22" t="n">
        <f>25863</f>
        <v>25863.0</v>
      </c>
      <c r="F21" s="23" t="n">
        <f>0.802</f>
        <v>0.802</v>
      </c>
      <c r="G21" s="21" t="n">
        <f>24992968310</f>
        <v>2.499296831E10</v>
      </c>
      <c r="H21" s="22" t="n">
        <f>22413304310</f>
        <v>2.241330431E10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87169</f>
        <v>87169.0</v>
      </c>
      <c r="E22" s="26" t="n">
        <f>35919</f>
        <v>35919.0</v>
      </c>
      <c r="F22" s="27" t="n">
        <f>0.869</f>
        <v>0.869</v>
      </c>
      <c r="G22" s="25" t="n">
        <f>34747067028</f>
        <v>3.4747067028E10</v>
      </c>
      <c r="H22" s="26" t="n">
        <f>29017249128</f>
        <v>2.9017249128E10</v>
      </c>
      <c r="I22" s="27" t="n">
        <f>0.999</f>
        <v>0.999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1334</f>
        <v>1334.0</v>
      </c>
      <c r="E24" s="22" t="n">
        <f>0</f>
        <v>0.0</v>
      </c>
      <c r="F24" s="23" t="n">
        <f>0.07</f>
        <v>0.07</v>
      </c>
      <c r="G24" s="21" t="n">
        <f>12857071</f>
        <v>1.2857071E7</v>
      </c>
      <c r="H24" s="22" t="n">
        <f>0</f>
        <v>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11676</f>
        <v>11676.0</v>
      </c>
      <c r="E25" s="22" t="n">
        <f>100</f>
        <v>100.0</v>
      </c>
      <c r="F25" s="23" t="n">
        <f>0.197</f>
        <v>0.197</v>
      </c>
      <c r="G25" s="21" t="n">
        <f>17715150</f>
        <v>1.771515E7</v>
      </c>
      <c r="H25" s="22" t="n">
        <f>460000</f>
        <v>460000.0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13010</f>
        <v>13010.0</v>
      </c>
      <c r="E26" s="26" t="n">
        <f>100</f>
        <v>100.0</v>
      </c>
      <c r="F26" s="27" t="n">
        <f>0.13</f>
        <v>0.13</v>
      </c>
      <c r="G26" s="25" t="n">
        <f>30572221</f>
        <v>3.0572221E7</v>
      </c>
      <c r="H26" s="26" t="n">
        <f>460000</f>
        <v>460000.0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46302.0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46302.0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10194.0</v>
      </c>
      <c r="F12" s="18" t="n">
        <f>1527</f>
        <v>1527.0</v>
      </c>
      <c r="G12" s="17" t="n">
        <v>7.259235102E11</v>
      </c>
      <c r="H12" s="18" t="n">
        <f>108806008200</f>
        <v>1.088060082E11</v>
      </c>
    </row>
    <row r="13" spans="1:8" ht="24.9" customHeight="1">
      <c r="A13" s="51"/>
      <c r="B13" s="57"/>
      <c r="C13" s="39"/>
      <c r="D13" s="20" t="s">
        <v>16</v>
      </c>
      <c r="E13" s="21" t="n">
        <v>9143.0</v>
      </c>
      <c r="F13" s="22" t="n">
        <f>2825</f>
        <v>2825.0</v>
      </c>
      <c r="G13" s="21" t="n">
        <v>6.473886655E11</v>
      </c>
      <c r="H13" s="22" t="n">
        <f>200158665500</f>
        <v>2.001586655E11</v>
      </c>
    </row>
    <row r="14" spans="1:8" ht="24.9" customHeight="1">
      <c r="A14" s="51"/>
      <c r="B14" s="57"/>
      <c r="C14" s="39"/>
      <c r="D14" s="20" t="s">
        <v>17</v>
      </c>
      <c r="E14" s="21" t="n">
        <v>18707.0</v>
      </c>
      <c r="F14" s="22" t="n">
        <f>7539</f>
        <v>7539.0</v>
      </c>
      <c r="G14" s="21" t="n">
        <v>1.316752459825E12</v>
      </c>
      <c r="H14" s="22" t="n">
        <f>530940397825</f>
        <v>5.30940397825E11</v>
      </c>
    </row>
    <row r="15" spans="1:8" ht="24.9" customHeight="1">
      <c r="A15" s="51"/>
      <c r="B15" s="57"/>
      <c r="C15" s="39"/>
      <c r="D15" s="24" t="s">
        <v>18</v>
      </c>
      <c r="E15" s="25" t="n">
        <v>38044.0</v>
      </c>
      <c r="F15" s="26" t="n">
        <f>11891</f>
        <v>11891.0</v>
      </c>
      <c r="G15" s="25" t="n">
        <v>2.690064635525E12</v>
      </c>
      <c r="H15" s="26" t="n">
        <f>839905071525</f>
        <v>8.39905071525E11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222929.0</v>
      </c>
      <c r="F16" s="18" t="n">
        <f>31111</f>
        <v>31111.0</v>
      </c>
      <c r="G16" s="17" t="n">
        <v>1.5873447118E12</v>
      </c>
      <c r="H16" s="18" t="n">
        <f>221536225900</f>
        <v>2.215362259E11</v>
      </c>
    </row>
    <row r="17" spans="1:8" ht="24.9" customHeight="1">
      <c r="A17" s="51"/>
      <c r="B17" s="57"/>
      <c r="C17" s="39"/>
      <c r="D17" s="20" t="s">
        <v>16</v>
      </c>
      <c r="E17" s="21" t="n">
        <v>128147.0</v>
      </c>
      <c r="F17" s="22" t="n">
        <f>22225</f>
        <v>22225.0</v>
      </c>
      <c r="G17" s="21" t="n">
        <v>9.0693599926E11</v>
      </c>
      <c r="H17" s="22" t="n">
        <f>157190209060</f>
        <v>1.5719020906E11</v>
      </c>
    </row>
    <row r="18" spans="1:8" ht="24.9" customHeight="1">
      <c r="A18" s="51"/>
      <c r="B18" s="57"/>
      <c r="C18" s="39"/>
      <c r="D18" s="20" t="s">
        <v>17</v>
      </c>
      <c r="E18" s="21" t="n">
        <v>157416.0</v>
      </c>
      <c r="F18" s="22" t="n">
        <f>27224</f>
        <v>27224.0</v>
      </c>
      <c r="G18" s="21" t="n">
        <v>1.10771386375E12</v>
      </c>
      <c r="H18" s="22" t="n">
        <f>191574127050</f>
        <v>1.9157412705E11</v>
      </c>
    </row>
    <row r="19" spans="1:8" ht="24.9" customHeight="1">
      <c r="A19" s="51"/>
      <c r="B19" s="57"/>
      <c r="C19" s="39"/>
      <c r="D19" s="24" t="s">
        <v>18</v>
      </c>
      <c r="E19" s="25" t="n">
        <v>508492.0</v>
      </c>
      <c r="F19" s="26" t="n">
        <f>80560</f>
        <v>80560.0</v>
      </c>
      <c r="G19" s="25" t="n">
        <v>3.60199457481E12</v>
      </c>
      <c r="H19" s="26" t="n">
        <f>570300562010</f>
        <v>5.7030056201E11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356220.0</v>
      </c>
      <c r="F20" s="18" t="str">
        <f>"－"</f>
        <v>－</v>
      </c>
      <c r="G20" s="17" t="n">
        <v>2.5366214405E11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146172.0</v>
      </c>
      <c r="F21" s="22" t="str">
        <f>"－"</f>
        <v>－</v>
      </c>
      <c r="G21" s="21" t="n">
        <v>1.0344940025E11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165782.0</v>
      </c>
      <c r="F22" s="22" t="str">
        <f>"－"</f>
        <v>－</v>
      </c>
      <c r="G22" s="21" t="n">
        <v>1.1666029345E11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668174.0</v>
      </c>
      <c r="F23" s="26" t="str">
        <f>"－"</f>
        <v>－</v>
      </c>
      <c r="G23" s="25" t="n">
        <v>4.7377183775E11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16406.0</v>
      </c>
      <c r="F24" s="18" t="n">
        <f>210</f>
        <v>210.0</v>
      </c>
      <c r="G24" s="17" t="n">
        <v>6.888958158E11</v>
      </c>
      <c r="H24" s="18" t="n">
        <f>8809600800</f>
        <v>8.8096008E9</v>
      </c>
    </row>
    <row r="25" spans="1:8" ht="24.9" customHeight="1">
      <c r="A25" s="51"/>
      <c r="B25" s="57"/>
      <c r="C25" s="39"/>
      <c r="D25" s="20" t="s">
        <v>16</v>
      </c>
      <c r="E25" s="21" t="n">
        <v>15030.0</v>
      </c>
      <c r="F25" s="22" t="n">
        <f>582</f>
        <v>582.0</v>
      </c>
      <c r="G25" s="21" t="n">
        <v>6.30511532988E11</v>
      </c>
      <c r="H25" s="22" t="n">
        <f>24385887988</f>
        <v>2.4385887988E10</v>
      </c>
    </row>
    <row r="26" spans="1:8" ht="24.9" customHeight="1">
      <c r="A26" s="51"/>
      <c r="B26" s="57"/>
      <c r="C26" s="39"/>
      <c r="D26" s="20" t="s">
        <v>17</v>
      </c>
      <c r="E26" s="21" t="n">
        <v>31833.0</v>
      </c>
      <c r="F26" s="22" t="n">
        <f>11066</f>
        <v>11066.0</v>
      </c>
      <c r="G26" s="21" t="n">
        <v>1.327315212816E12</v>
      </c>
      <c r="H26" s="22" t="n">
        <f>460974877816</f>
        <v>4.60974877816E11</v>
      </c>
    </row>
    <row r="27" spans="1:8" ht="24.9" customHeight="1">
      <c r="A27" s="51"/>
      <c r="B27" s="57"/>
      <c r="C27" s="39"/>
      <c r="D27" s="24" t="s">
        <v>18</v>
      </c>
      <c r="E27" s="25" t="n">
        <v>63269.0</v>
      </c>
      <c r="F27" s="26" t="n">
        <f>11858</f>
        <v>11858.0</v>
      </c>
      <c r="G27" s="25" t="n">
        <v>2.646722561604E12</v>
      </c>
      <c r="H27" s="26" t="n">
        <f>494170366604</f>
        <v>4.94170366604E11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4616.0</v>
      </c>
      <c r="F28" s="18" t="n">
        <f>300</f>
        <v>300.0</v>
      </c>
      <c r="G28" s="17" t="n">
        <v>1.93852545E10</v>
      </c>
      <c r="H28" s="18" t="n">
        <f>1260180250</f>
        <v>1.26018025E9</v>
      </c>
    </row>
    <row r="29" spans="1:8" ht="24.9" customHeight="1">
      <c r="A29" s="51"/>
      <c r="B29" s="57"/>
      <c r="C29" s="39"/>
      <c r="D29" s="20" t="s">
        <v>16</v>
      </c>
      <c r="E29" s="21" t="n">
        <v>6153.0</v>
      </c>
      <c r="F29" s="22" t="n">
        <f>216</f>
        <v>216.0</v>
      </c>
      <c r="G29" s="21" t="n">
        <v>2.58158255E10</v>
      </c>
      <c r="H29" s="22" t="n">
        <f>906380750</f>
        <v>9.0638075E8</v>
      </c>
    </row>
    <row r="30" spans="1:8" ht="24.9" customHeight="1">
      <c r="A30" s="51"/>
      <c r="B30" s="57"/>
      <c r="C30" s="39"/>
      <c r="D30" s="20" t="s">
        <v>17</v>
      </c>
      <c r="E30" s="21" t="n">
        <v>6281.0</v>
      </c>
      <c r="F30" s="22" t="n">
        <f>404</f>
        <v>404.0</v>
      </c>
      <c r="G30" s="21" t="n">
        <v>2.620119512E10</v>
      </c>
      <c r="H30" s="22" t="n">
        <f>1684249120</f>
        <v>1.68424912E9</v>
      </c>
    </row>
    <row r="31" spans="1:8" ht="24.9" customHeight="1">
      <c r="A31" s="51"/>
      <c r="B31" s="57"/>
      <c r="C31" s="39"/>
      <c r="D31" s="24" t="s">
        <v>18</v>
      </c>
      <c r="E31" s="25" t="n">
        <v>17050.0</v>
      </c>
      <c r="F31" s="26" t="n">
        <f>920</f>
        <v>920.0</v>
      </c>
      <c r="G31" s="25" t="n">
        <v>7.140227512E10</v>
      </c>
      <c r="H31" s="26" t="n">
        <f>3850810120</f>
        <v>3.85081012E9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13.0</v>
      </c>
      <c r="F34" s="22" t="n">
        <f>13</f>
        <v>13.0</v>
      </c>
      <c r="G34" s="21" t="n">
        <v>2.284048E7</v>
      </c>
      <c r="H34" s="22" t="n">
        <f>22840480</f>
        <v>2.284048E7</v>
      </c>
    </row>
    <row r="35" spans="1:8" ht="24.9" customHeight="1">
      <c r="A35" s="51"/>
      <c r="B35" s="57"/>
      <c r="C35" s="39"/>
      <c r="D35" s="24" t="s">
        <v>18</v>
      </c>
      <c r="E35" s="25" t="n">
        <v>13.0</v>
      </c>
      <c r="F35" s="26" t="n">
        <f>13</f>
        <v>13.0</v>
      </c>
      <c r="G35" s="25" t="n">
        <v>2.284048E7</v>
      </c>
      <c r="H35" s="26" t="n">
        <f>22840480</f>
        <v>2.284048E7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346.0</v>
      </c>
      <c r="F36" s="18" t="n">
        <f>0</f>
        <v>0.0</v>
      </c>
      <c r="G36" s="17" t="n">
        <v>1.3029215E9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722.0</v>
      </c>
      <c r="F37" s="22" t="n">
        <f>2</f>
        <v>2.0</v>
      </c>
      <c r="G37" s="21" t="n">
        <v>2.717135E9</v>
      </c>
      <c r="H37" s="22" t="n">
        <f>7542000</f>
        <v>7542000.0</v>
      </c>
    </row>
    <row r="38" spans="1:8" ht="24.9" customHeight="1">
      <c r="A38" s="51"/>
      <c r="B38" s="57"/>
      <c r="C38" s="39"/>
      <c r="D38" s="20" t="s">
        <v>17</v>
      </c>
      <c r="E38" s="21" t="n">
        <v>6770.0</v>
      </c>
      <c r="F38" s="22" t="n">
        <f>6300</f>
        <v>6300.0</v>
      </c>
      <c r="G38" s="21" t="n">
        <v>2.53171767E10</v>
      </c>
      <c r="H38" s="22" t="n">
        <f>23557016700</f>
        <v>2.35570167E10</v>
      </c>
    </row>
    <row r="39" spans="1:8" ht="24.9" customHeight="1">
      <c r="A39" s="51"/>
      <c r="B39" s="57"/>
      <c r="C39" s="39"/>
      <c r="D39" s="24" t="s">
        <v>18</v>
      </c>
      <c r="E39" s="25" t="n">
        <v>7838.0</v>
      </c>
      <c r="F39" s="26" t="n">
        <f>6302</f>
        <v>6302.0</v>
      </c>
      <c r="G39" s="25" t="n">
        <v>2.93372332E10</v>
      </c>
      <c r="H39" s="26" t="n">
        <f>23564558700</f>
        <v>2.35645587E10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8.0</v>
      </c>
      <c r="F45" s="22" t="n">
        <f>8</f>
        <v>8.0</v>
      </c>
      <c r="G45" s="21" t="n">
        <v>6.256E7</v>
      </c>
      <c r="H45" s="22" t="n">
        <f>62560000</f>
        <v>6.256E7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8.0</v>
      </c>
      <c r="F47" s="26" t="n">
        <f>8</f>
        <v>8.0</v>
      </c>
      <c r="G47" s="25" t="n">
        <v>6.256E7</v>
      </c>
      <c r="H47" s="26" t="n">
        <f>62560000</f>
        <v>6.256E7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5.0</v>
      </c>
      <c r="F48" s="18" t="n">
        <f>4</f>
        <v>4.0</v>
      </c>
      <c r="G48" s="17" t="n">
        <v>8294500.0</v>
      </c>
      <c r="H48" s="18" t="n">
        <f>6634000</f>
        <v>6634000.0</v>
      </c>
    </row>
    <row r="49" spans="1:8" ht="24.9" customHeight="1">
      <c r="A49" s="51"/>
      <c r="B49" s="57"/>
      <c r="C49" s="39"/>
      <c r="D49" s="20" t="s">
        <v>16</v>
      </c>
      <c r="E49" s="21" t="n">
        <v>98.0</v>
      </c>
      <c r="F49" s="22" t="n">
        <f>0</f>
        <v>0.0</v>
      </c>
      <c r="G49" s="21" t="n">
        <v>1.62438E8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76.0</v>
      </c>
      <c r="F50" s="22" t="n">
        <f>13</f>
        <v>13.0</v>
      </c>
      <c r="G50" s="21" t="n">
        <v>1.2592352E8</v>
      </c>
      <c r="H50" s="22" t="n">
        <f>21476520</f>
        <v>2.147652E7</v>
      </c>
    </row>
    <row r="51" spans="1:8" ht="24.9" customHeight="1">
      <c r="A51" s="51"/>
      <c r="B51" s="57"/>
      <c r="C51" s="39"/>
      <c r="D51" s="24" t="s">
        <v>18</v>
      </c>
      <c r="E51" s="25" t="n">
        <v>179.0</v>
      </c>
      <c r="F51" s="26" t="n">
        <f>17</f>
        <v>17.0</v>
      </c>
      <c r="G51" s="25" t="n">
        <v>2.9665602E8</v>
      </c>
      <c r="H51" s="26" t="n">
        <f>28110520</f>
        <v>2.811052E7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262.0</v>
      </c>
      <c r="F56" s="18" t="n">
        <f>14</f>
        <v>14.0</v>
      </c>
      <c r="G56" s="17" t="n">
        <v>2.123461E8</v>
      </c>
      <c r="H56" s="18" t="n">
        <f>11369100</f>
        <v>1.13691E7</v>
      </c>
    </row>
    <row r="57" spans="1:8" ht="24.9" customHeight="1">
      <c r="A57" s="51"/>
      <c r="B57" s="57"/>
      <c r="C57" s="39"/>
      <c r="D57" s="20" t="s">
        <v>16</v>
      </c>
      <c r="E57" s="21" t="n">
        <v>884.0</v>
      </c>
      <c r="F57" s="22" t="n">
        <f>30</f>
        <v>30.0</v>
      </c>
      <c r="G57" s="21" t="n">
        <v>7.121058E8</v>
      </c>
      <c r="H57" s="22" t="n">
        <f>24197800</f>
        <v>2.41978E7</v>
      </c>
    </row>
    <row r="58" spans="1:8" ht="24.9" customHeight="1">
      <c r="A58" s="51"/>
      <c r="B58" s="57"/>
      <c r="C58" s="39"/>
      <c r="D58" s="20" t="s">
        <v>17</v>
      </c>
      <c r="E58" s="21" t="n">
        <v>891.0</v>
      </c>
      <c r="F58" s="22" t="n">
        <f>52</f>
        <v>52.0</v>
      </c>
      <c r="G58" s="21" t="n">
        <v>7.1288564E8</v>
      </c>
      <c r="H58" s="22" t="n">
        <f>41944640</f>
        <v>4.194464E7</v>
      </c>
    </row>
    <row r="59" spans="1:8" ht="24.9" customHeight="1">
      <c r="A59" s="51"/>
      <c r="B59" s="57"/>
      <c r="C59" s="39"/>
      <c r="D59" s="24" t="s">
        <v>18</v>
      </c>
      <c r="E59" s="25" t="n">
        <v>2037.0</v>
      </c>
      <c r="F59" s="26" t="n">
        <f>96</f>
        <v>96.0</v>
      </c>
      <c r="G59" s="25" t="n">
        <v>1.63733754E9</v>
      </c>
      <c r="H59" s="26" t="n">
        <f>77511540</f>
        <v>7.751154E7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219.0</v>
      </c>
      <c r="F60" s="18" t="n">
        <f>10</f>
        <v>10.0</v>
      </c>
      <c r="G60" s="17" t="n">
        <v>1.13504239E9</v>
      </c>
      <c r="H60" s="18" t="n">
        <f>51836490</f>
        <v>5.183649E7</v>
      </c>
    </row>
    <row r="61" spans="1:8" ht="24.9" customHeight="1">
      <c r="A61" s="51"/>
      <c r="B61" s="57"/>
      <c r="C61" s="39"/>
      <c r="D61" s="20" t="s">
        <v>16</v>
      </c>
      <c r="E61" s="21" t="n">
        <v>37.0</v>
      </c>
      <c r="F61" s="22" t="n">
        <f>2</f>
        <v>2.0</v>
      </c>
      <c r="G61" s="21" t="n">
        <v>1.9168451E8</v>
      </c>
      <c r="H61" s="22" t="n">
        <f>10360910</f>
        <v>1.036091E7</v>
      </c>
    </row>
    <row r="62" spans="1:8" ht="24.9" customHeight="1">
      <c r="A62" s="51"/>
      <c r="B62" s="57"/>
      <c r="C62" s="39"/>
      <c r="D62" s="20" t="s">
        <v>17</v>
      </c>
      <c r="E62" s="21" t="n">
        <v>29.0</v>
      </c>
      <c r="F62" s="22" t="n">
        <f>1</f>
        <v>1.0</v>
      </c>
      <c r="G62" s="21" t="n">
        <v>1.500963E8</v>
      </c>
      <c r="H62" s="22" t="n">
        <f>5177700</f>
        <v>5177700.0</v>
      </c>
    </row>
    <row r="63" spans="1:8" ht="24.9" customHeight="1">
      <c r="A63" s="51"/>
      <c r="B63" s="57"/>
      <c r="C63" s="39"/>
      <c r="D63" s="24" t="s">
        <v>18</v>
      </c>
      <c r="E63" s="25" t="n">
        <v>285.0</v>
      </c>
      <c r="F63" s="26" t="n">
        <f>13</f>
        <v>13.0</v>
      </c>
      <c r="G63" s="25" t="n">
        <v>1.4768232E9</v>
      </c>
      <c r="H63" s="26" t="n">
        <f>67375100</f>
        <v>6.73751E7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4.0</v>
      </c>
      <c r="F77" s="22" t="n">
        <f>0</f>
        <v>0.0</v>
      </c>
      <c r="G77" s="21" t="n">
        <v>1186500.0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303000.0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5.0</v>
      </c>
      <c r="F79" s="26" t="n">
        <f>0</f>
        <v>0.0</v>
      </c>
      <c r="G79" s="25" t="n">
        <v>1489500.0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61.0</v>
      </c>
      <c r="F92" s="18" t="n">
        <f>0</f>
        <v>0.0</v>
      </c>
      <c r="G92" s="17" t="n">
        <v>9.59043E7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29.0</v>
      </c>
      <c r="F93" s="22" t="n">
        <f>0</f>
        <v>0.0</v>
      </c>
      <c r="G93" s="21" t="n">
        <v>4.57033E7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514.0</v>
      </c>
      <c r="F94" s="22" t="n">
        <f>0</f>
        <v>0.0</v>
      </c>
      <c r="G94" s="21" t="n">
        <v>8.098696E8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604.0</v>
      </c>
      <c r="F95" s="26" t="n">
        <f>0</f>
        <v>0.0</v>
      </c>
      <c r="G95" s="25" t="n">
        <v>9.514772E8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1.0</v>
      </c>
      <c r="F96" s="18" t="n">
        <f>0</f>
        <v>0.0</v>
      </c>
      <c r="G96" s="17" t="n">
        <v>2356000.0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1.0</v>
      </c>
      <c r="F99" s="26" t="n">
        <f>0</f>
        <v>0.0</v>
      </c>
      <c r="G99" s="25" t="n">
        <v>2356000.0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8695.0</v>
      </c>
      <c r="F108" s="18" t="n">
        <f>307</f>
        <v>307.0</v>
      </c>
      <c r="G108" s="17" t="n">
        <v>1.08131211E12</v>
      </c>
      <c r="H108" s="18" t="n">
        <f>38167870000</f>
        <v>3.816787E10</v>
      </c>
    </row>
    <row r="109" spans="1:8" ht="24.9" customHeight="1">
      <c r="A109" s="51"/>
      <c r="B109" s="57"/>
      <c r="C109" s="39"/>
      <c r="D109" s="20" t="s">
        <v>16</v>
      </c>
      <c r="E109" s="21" t="n">
        <v>13510.0</v>
      </c>
      <c r="F109" s="22" t="n">
        <f>2200</f>
        <v>2200.0</v>
      </c>
      <c r="G109" s="21" t="n">
        <v>1.67915468E12</v>
      </c>
      <c r="H109" s="22" t="n">
        <f>273476270000</f>
        <v>2.7347627E11</v>
      </c>
    </row>
    <row r="110" spans="1:8" ht="24.9" customHeight="1">
      <c r="A110" s="51"/>
      <c r="B110" s="57"/>
      <c r="C110" s="39"/>
      <c r="D110" s="20" t="s">
        <v>17</v>
      </c>
      <c r="E110" s="21" t="n">
        <v>11748.0</v>
      </c>
      <c r="F110" s="22" t="n">
        <f>1543</f>
        <v>1543.0</v>
      </c>
      <c r="G110" s="21" t="n">
        <v>1.45893285E12</v>
      </c>
      <c r="H110" s="22" t="n">
        <f>191678190000</f>
        <v>1.9167819E11</v>
      </c>
    </row>
    <row r="111" spans="1:8" ht="24.9" customHeight="1">
      <c r="A111" s="51"/>
      <c r="B111" s="57"/>
      <c r="C111" s="39"/>
      <c r="D111" s="24" t="s">
        <v>18</v>
      </c>
      <c r="E111" s="25" t="n">
        <v>33953.0</v>
      </c>
      <c r="F111" s="26" t="n">
        <f>4050</f>
        <v>4050.0</v>
      </c>
      <c r="G111" s="25" t="n">
        <v>4.21939964E12</v>
      </c>
      <c r="H111" s="26" t="n">
        <f>503322330000</f>
        <v>5.0332233E11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1441.0</v>
      </c>
      <c r="F113" s="22" t="n">
        <f>0</f>
        <v>0.0</v>
      </c>
      <c r="G113" s="21" t="n">
        <v>1.791144E10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1299.0</v>
      </c>
      <c r="F114" s="22" t="n">
        <f>0</f>
        <v>0.0</v>
      </c>
      <c r="G114" s="21" t="n">
        <v>1.6132245E10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2740.0</v>
      </c>
      <c r="F115" s="26" t="n">
        <f>0</f>
        <v>0.0</v>
      </c>
      <c r="G115" s="25" t="n">
        <v>3.4043685E10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101.0</v>
      </c>
      <c r="F118" s="22" t="n">
        <f>0</f>
        <v>0.0</v>
      </c>
      <c r="G118" s="21" t="n">
        <v>8.82942E8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101.0</v>
      </c>
      <c r="F119" s="26" t="n">
        <f>0</f>
        <v>0.0</v>
      </c>
      <c r="G119" s="25" t="n">
        <v>8.82942E8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61.0</v>
      </c>
      <c r="F120" s="18" t="n">
        <f>0</f>
        <v>0.0</v>
      </c>
      <c r="G120" s="17" t="n">
        <v>1.50009375E9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1154.0</v>
      </c>
      <c r="F121" s="22" t="n">
        <f>0</f>
        <v>0.0</v>
      </c>
      <c r="G121" s="21" t="n">
        <v>2.84855425E10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551.0</v>
      </c>
      <c r="F122" s="22" t="n">
        <f>0</f>
        <v>0.0</v>
      </c>
      <c r="G122" s="21" t="n">
        <v>1.3532675625E10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1766.0</v>
      </c>
      <c r="F123" s="26" t="n">
        <f>0</f>
        <v>0.0</v>
      </c>
      <c r="G123" s="25" t="n">
        <v>4.3518311875E10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3691.0</v>
      </c>
      <c r="F124" s="18" t="n">
        <f>0</f>
        <v>0.0</v>
      </c>
      <c r="G124" s="17" t="n">
        <v>7.9894984E10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1298.0</v>
      </c>
      <c r="F125" s="22" t="n">
        <f>0</f>
        <v>0.0</v>
      </c>
      <c r="G125" s="21" t="n">
        <v>2.8076376E10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2249.0</v>
      </c>
      <c r="F126" s="22" t="n">
        <f>0</f>
        <v>0.0</v>
      </c>
      <c r="G126" s="21" t="n">
        <v>4.8317796E10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7238.0</v>
      </c>
      <c r="F127" s="26" t="n">
        <f>0</f>
        <v>0.0</v>
      </c>
      <c r="G127" s="25" t="n">
        <v>1.56289156E11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47.0</v>
      </c>
      <c r="F128" s="18" t="n">
        <f>0</f>
        <v>0.0</v>
      </c>
      <c r="G128" s="17" t="n">
        <v>1.00422E8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84.0</v>
      </c>
      <c r="F129" s="22" t="n">
        <f>0</f>
        <v>0.0</v>
      </c>
      <c r="G129" s="21" t="n">
        <v>1.795645E8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253.0</v>
      </c>
      <c r="F130" s="22" t="n">
        <f>0</f>
        <v>0.0</v>
      </c>
      <c r="G130" s="21" t="n">
        <v>5.384835E8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384.0</v>
      </c>
      <c r="F131" s="26" t="n">
        <f>0</f>
        <v>0.0</v>
      </c>
      <c r="G131" s="25" t="n">
        <v>8.1847E8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4730.0</v>
      </c>
      <c r="F132" s="18" t="n">
        <f>0</f>
        <v>0.0</v>
      </c>
      <c r="G132" s="17" t="n">
        <v>1.02756059E10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1186.0</v>
      </c>
      <c r="F133" s="22" t="n">
        <f>0</f>
        <v>0.0</v>
      </c>
      <c r="G133" s="21" t="n">
        <v>2.58018315E9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1634.0</v>
      </c>
      <c r="F134" s="22" t="n">
        <f>0</f>
        <v>0.0</v>
      </c>
      <c r="G134" s="21" t="n">
        <v>3.5339877E9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7550.0</v>
      </c>
      <c r="F135" s="26" t="n">
        <f>0</f>
        <v>0.0</v>
      </c>
      <c r="G135" s="25" t="n">
        <v>1.638977675E10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50.0</v>
      </c>
      <c r="F136" s="18" t="n">
        <f>0</f>
        <v>0.0</v>
      </c>
      <c r="G136" s="17" t="n">
        <v>1.055916E8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5.0</v>
      </c>
      <c r="F137" s="22" t="n">
        <f>0</f>
        <v>0.0</v>
      </c>
      <c r="G137" s="21" t="n">
        <v>1.05946E7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39.0</v>
      </c>
      <c r="F138" s="22" t="n">
        <f>0</f>
        <v>0.0</v>
      </c>
      <c r="G138" s="21" t="n">
        <v>8.2178E7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94.0</v>
      </c>
      <c r="F139" s="26" t="n">
        <f>0</f>
        <v>0.0</v>
      </c>
      <c r="G139" s="25" t="n">
        <v>1.983642E8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9330000.0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9330000.0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1048.0</v>
      </c>
      <c r="F144" s="18" t="n">
        <f>0</f>
        <v>0.0</v>
      </c>
      <c r="G144" s="17" t="n">
        <v>4.44025E9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575.0</v>
      </c>
      <c r="F145" s="22" t="n">
        <f>0</f>
        <v>0.0</v>
      </c>
      <c r="G145" s="21" t="n">
        <v>2.4483385E9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845.0</v>
      </c>
      <c r="F146" s="22" t="n">
        <f>0</f>
        <v>0.0</v>
      </c>
      <c r="G146" s="21" t="n">
        <v>3.568495E9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2468.0</v>
      </c>
      <c r="F147" s="26" t="n">
        <f>0</f>
        <v>0.0</v>
      </c>
      <c r="G147" s="25" t="n">
        <v>1.04570835E10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81.0</v>
      </c>
      <c r="F148" s="18" t="n">
        <f>0</f>
        <v>0.0</v>
      </c>
      <c r="G148" s="17" t="n">
        <v>7.0317E7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285.0</v>
      </c>
      <c r="F149" s="22" t="n">
        <f>0</f>
        <v>0.0</v>
      </c>
      <c r="G149" s="21" t="n">
        <v>2.487651E8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1945.0</v>
      </c>
      <c r="F150" s="22" t="n">
        <f>0</f>
        <v>0.0</v>
      </c>
      <c r="G150" s="21" t="n">
        <v>1.6833953E9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2311.0</v>
      </c>
      <c r="F151" s="26" t="n">
        <f>0</f>
        <v>0.0</v>
      </c>
      <c r="G151" s="25" t="n">
        <v>2.0024774E9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287.0</v>
      </c>
      <c r="F152" s="18" t="n">
        <f>0</f>
        <v>0.0</v>
      </c>
      <c r="G152" s="17" t="n">
        <v>2.4387305E8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91.0</v>
      </c>
      <c r="F153" s="22" t="n">
        <f>0</f>
        <v>0.0</v>
      </c>
      <c r="G153" s="21" t="n">
        <v>7.814665E7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611.0</v>
      </c>
      <c r="F154" s="22" t="n">
        <f>0</f>
        <v>0.0</v>
      </c>
      <c r="G154" s="21" t="n">
        <v>5.1965545E8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989.0</v>
      </c>
      <c r="F155" s="26" t="n">
        <f>0</f>
        <v>0.0</v>
      </c>
      <c r="G155" s="25" t="n">
        <v>8.4167515E8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132.0</v>
      </c>
      <c r="F156" s="18" t="n">
        <f>0</f>
        <v>0.0</v>
      </c>
      <c r="G156" s="17" t="n">
        <v>1.147454E8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841.0</v>
      </c>
      <c r="F157" s="22" t="n">
        <f>0</f>
        <v>0.0</v>
      </c>
      <c r="G157" s="21" t="n">
        <v>7.3185E8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558.0</v>
      </c>
      <c r="F158" s="22" t="n">
        <f>0</f>
        <v>0.0</v>
      </c>
      <c r="G158" s="21" t="n">
        <v>4.79164E8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1531.0</v>
      </c>
      <c r="F159" s="26" t="n">
        <f>0</f>
        <v>0.0</v>
      </c>
      <c r="G159" s="25" t="n">
        <v>1.3257594E9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24.0</v>
      </c>
      <c r="F168" s="18" t="n">
        <f>0</f>
        <v>0.0</v>
      </c>
      <c r="G168" s="17" t="n">
        <v>5.44135E7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45.0</v>
      </c>
      <c r="F169" s="22" t="n">
        <f>0</f>
        <v>0.0</v>
      </c>
      <c r="G169" s="21" t="n">
        <v>1.02223E8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1494.0</v>
      </c>
      <c r="F170" s="22" t="n">
        <f>0</f>
        <v>0.0</v>
      </c>
      <c r="G170" s="21" t="n">
        <v>3.396874E9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1563.0</v>
      </c>
      <c r="F171" s="26" t="n">
        <f>0</f>
        <v>0.0</v>
      </c>
      <c r="G171" s="25" t="n">
        <v>3.5535105E9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20.0</v>
      </c>
      <c r="F178" s="22" t="n">
        <f>0</f>
        <v>0.0</v>
      </c>
      <c r="G178" s="21" t="n">
        <v>4.0258E7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20.0</v>
      </c>
      <c r="F179" s="26" t="n">
        <f>0</f>
        <v>0.0</v>
      </c>
      <c r="G179" s="25" t="n">
        <v>4.0258E7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296.0</v>
      </c>
      <c r="F204" s="18" t="n">
        <f>0</f>
        <v>0.0</v>
      </c>
      <c r="G204" s="17" t="n">
        <v>1.3340905E9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142.0</v>
      </c>
      <c r="F205" s="22" t="n">
        <f>0</f>
        <v>0.0</v>
      </c>
      <c r="G205" s="21" t="n">
        <v>6.42889E8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3926.0</v>
      </c>
      <c r="F206" s="22" t="n">
        <f>0</f>
        <v>0.0</v>
      </c>
      <c r="G206" s="21" t="n">
        <v>1.77223705E10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4364.0</v>
      </c>
      <c r="F207" s="26" t="n">
        <f>0</f>
        <v>0.0</v>
      </c>
      <c r="G207" s="25" t="n">
        <v>1.969935E10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100.0</v>
      </c>
      <c r="F217" s="22" t="n">
        <f>100</f>
        <v>100.0</v>
      </c>
      <c r="G217" s="21" t="n">
        <v>1.8228E8</v>
      </c>
      <c r="H217" s="22" t="n">
        <f>182280000</f>
        <v>1.8228E8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100.0</v>
      </c>
      <c r="F219" s="26" t="n">
        <f>100</f>
        <v>100.0</v>
      </c>
      <c r="G219" s="25" t="n">
        <v>1.8228E8</v>
      </c>
      <c r="H219" s="26" t="n">
        <f>182280000</f>
        <v>1.8228E8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46302.0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46302.0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4437</f>
        <v>4437.0</v>
      </c>
      <c r="E12" s="35" t="n">
        <f>2060</f>
        <v>2060.0</v>
      </c>
      <c r="F12" s="17" t="n">
        <f>4970</f>
        <v>4970.0</v>
      </c>
      <c r="G12" s="35" t="n">
        <f>1384</f>
        <v>1384.0</v>
      </c>
      <c r="H12" s="17" t="n">
        <f>9407</f>
        <v>9407.0</v>
      </c>
      <c r="I12" s="35" t="n">
        <f>3444</f>
        <v>3444.0</v>
      </c>
      <c r="J12" s="17" t="n">
        <f>1402940953</f>
        <v>1.402940953E9</v>
      </c>
      <c r="K12" s="35" t="n">
        <f>1078518953</f>
        <v>1.078518953E9</v>
      </c>
      <c r="L12" s="17" t="n">
        <f>1735411340</f>
        <v>1.73541134E9</v>
      </c>
      <c r="M12" s="35" t="n">
        <f>776290340</f>
        <v>7.7629034E8</v>
      </c>
      <c r="N12" s="17" t="n">
        <f>3138352293</f>
        <v>3.138352293E9</v>
      </c>
      <c r="O12" s="35" t="n">
        <f>1854809293</f>
        <v>1.854809293E9</v>
      </c>
    </row>
    <row r="13" spans="1:15" ht="24.9" customHeight="1">
      <c r="A13" s="38"/>
      <c r="B13" s="62"/>
      <c r="C13" s="20" t="s">
        <v>16</v>
      </c>
      <c r="D13" s="21" t="n">
        <f>5649</f>
        <v>5649.0</v>
      </c>
      <c r="E13" s="36" t="n">
        <f>2906</f>
        <v>2906.0</v>
      </c>
      <c r="F13" s="21" t="n">
        <f>3943</f>
        <v>3943.0</v>
      </c>
      <c r="G13" s="36" t="n">
        <f>923</f>
        <v>923.0</v>
      </c>
      <c r="H13" s="21" t="n">
        <f>9592</f>
        <v>9592.0</v>
      </c>
      <c r="I13" s="36" t="n">
        <f>3829</f>
        <v>3829.0</v>
      </c>
      <c r="J13" s="21" t="n">
        <f>2359528485</f>
        <v>2.359528485E9</v>
      </c>
      <c r="K13" s="36" t="n">
        <f>1947742485</f>
        <v>1.947742485E9</v>
      </c>
      <c r="L13" s="21" t="n">
        <f>1383131970</f>
        <v>1.38313197E9</v>
      </c>
      <c r="M13" s="36" t="n">
        <f>602631970</f>
        <v>6.0263197E8</v>
      </c>
      <c r="N13" s="21" t="n">
        <f>3742660455</f>
        <v>3.742660455E9</v>
      </c>
      <c r="O13" s="36" t="n">
        <f>2550374455</f>
        <v>2.550374455E9</v>
      </c>
    </row>
    <row r="14" spans="1:15" ht="24.9" customHeight="1">
      <c r="A14" s="38"/>
      <c r="B14" s="62"/>
      <c r="C14" s="20" t="s">
        <v>17</v>
      </c>
      <c r="D14" s="21" t="n">
        <f>22270</f>
        <v>22270.0</v>
      </c>
      <c r="E14" s="36" t="n">
        <f>15851</f>
        <v>15851.0</v>
      </c>
      <c r="F14" s="21" t="n">
        <f>8812</f>
        <v>8812.0</v>
      </c>
      <c r="G14" s="36" t="n">
        <f>4442</f>
        <v>4442.0</v>
      </c>
      <c r="H14" s="21" t="n">
        <f>31082</f>
        <v>31082.0</v>
      </c>
      <c r="I14" s="36" t="n">
        <f>20293</f>
        <v>20293.0</v>
      </c>
      <c r="J14" s="21" t="n">
        <f>15925876890</f>
        <v>1.592587689E10</v>
      </c>
      <c r="K14" s="36" t="n">
        <f>14905097890</f>
        <v>1.490509789E10</v>
      </c>
      <c r="L14" s="21" t="n">
        <f>8042130530</f>
        <v>8.04213053E9</v>
      </c>
      <c r="M14" s="36" t="n">
        <f>6764542530</f>
        <v>6.76454253E9</v>
      </c>
      <c r="N14" s="21" t="n">
        <f>23968007420</f>
        <v>2.396800742E10</v>
      </c>
      <c r="O14" s="36" t="n">
        <f>21669640420</f>
        <v>2.166964042E10</v>
      </c>
    </row>
    <row r="15" spans="1:15" ht="24.9" customHeight="1">
      <c r="A15" s="38"/>
      <c r="B15" s="62"/>
      <c r="C15" s="24" t="s">
        <v>18</v>
      </c>
      <c r="D15" s="25" t="n">
        <f>32356</f>
        <v>32356.0</v>
      </c>
      <c r="E15" s="37" t="n">
        <f>20817</f>
        <v>20817.0</v>
      </c>
      <c r="F15" s="25" t="n">
        <f>17725</f>
        <v>17725.0</v>
      </c>
      <c r="G15" s="37" t="n">
        <f>6749</f>
        <v>6749.0</v>
      </c>
      <c r="H15" s="25" t="n">
        <f>50081</f>
        <v>50081.0</v>
      </c>
      <c r="I15" s="37" t="n">
        <f>27566</f>
        <v>27566.0</v>
      </c>
      <c r="J15" s="25" t="n">
        <f>19688346328</f>
        <v>1.9688346328E10</v>
      </c>
      <c r="K15" s="37" t="n">
        <f>17931359328</f>
        <v>1.7931359328E10</v>
      </c>
      <c r="L15" s="25" t="n">
        <f>11160673840</f>
        <v>1.116067384E10</v>
      </c>
      <c r="M15" s="37" t="n">
        <f>8143464840</f>
        <v>8.14346484E9</v>
      </c>
      <c r="N15" s="25" t="n">
        <f>30849020168</f>
        <v>3.0849020168E10</v>
      </c>
      <c r="O15" s="37" t="n">
        <f>26074824168</f>
        <v>2.6074824168E10</v>
      </c>
    </row>
    <row r="16" spans="1:15" ht="24.9" customHeight="1">
      <c r="A16" s="38"/>
      <c r="B16" s="61" t="s">
        <v>105</v>
      </c>
      <c r="C16" s="16" t="s">
        <v>15</v>
      </c>
      <c r="D16" s="17" t="n">
        <f>6833</f>
        <v>6833.0</v>
      </c>
      <c r="E16" s="35" t="n">
        <f>470</f>
        <v>470.0</v>
      </c>
      <c r="F16" s="17" t="n">
        <f>4998</f>
        <v>4998.0</v>
      </c>
      <c r="G16" s="35" t="n">
        <f>120</f>
        <v>120.0</v>
      </c>
      <c r="H16" s="17" t="n">
        <f>11831</f>
        <v>11831.0</v>
      </c>
      <c r="I16" s="35" t="n">
        <f>590</f>
        <v>590.0</v>
      </c>
      <c r="J16" s="17" t="n">
        <f>165271300</f>
        <v>1.652713E8</v>
      </c>
      <c r="K16" s="35" t="n">
        <f>5818700</f>
        <v>5818700.0</v>
      </c>
      <c r="L16" s="17" t="n">
        <f>355476200</f>
        <v>3.554762E8</v>
      </c>
      <c r="M16" s="35" t="n">
        <f>7311200</f>
        <v>7311200.0</v>
      </c>
      <c r="N16" s="17" t="n">
        <f>520747500</f>
        <v>5.207475E8</v>
      </c>
      <c r="O16" s="35" t="n">
        <f>13129900</f>
        <v>1.31299E7</v>
      </c>
    </row>
    <row r="17" spans="1:15" ht="24.9" customHeight="1">
      <c r="A17" s="38"/>
      <c r="B17" s="62"/>
      <c r="C17" s="20" t="s">
        <v>16</v>
      </c>
      <c r="D17" s="21" t="n">
        <f>3826</f>
        <v>3826.0</v>
      </c>
      <c r="E17" s="36" t="n">
        <f>100</f>
        <v>100.0</v>
      </c>
      <c r="F17" s="21" t="n">
        <f>2894</f>
        <v>2894.0</v>
      </c>
      <c r="G17" s="36" t="n">
        <f>20</f>
        <v>20.0</v>
      </c>
      <c r="H17" s="21" t="n">
        <f>6720</f>
        <v>6720.0</v>
      </c>
      <c r="I17" s="36" t="n">
        <f>120</f>
        <v>120.0</v>
      </c>
      <c r="J17" s="21" t="n">
        <f>65126640</f>
        <v>6.512664E7</v>
      </c>
      <c r="K17" s="36" t="n">
        <f>182640</f>
        <v>182640.0</v>
      </c>
      <c r="L17" s="21" t="n">
        <f>101208830</f>
        <v>1.0120883E8</v>
      </c>
      <c r="M17" s="36" t="n">
        <f>225530</f>
        <v>225530.0</v>
      </c>
      <c r="N17" s="21" t="n">
        <f>166335470</f>
        <v>1.6633547E8</v>
      </c>
      <c r="O17" s="36" t="n">
        <f>408170</f>
        <v>408170.0</v>
      </c>
    </row>
    <row r="18" spans="1:15" ht="24.9" customHeight="1">
      <c r="A18" s="38"/>
      <c r="B18" s="62"/>
      <c r="C18" s="20" t="s">
        <v>17</v>
      </c>
      <c r="D18" s="21" t="n">
        <f>5945</f>
        <v>5945.0</v>
      </c>
      <c r="E18" s="36" t="n">
        <f>220</f>
        <v>220.0</v>
      </c>
      <c r="F18" s="21" t="n">
        <f>5759</f>
        <v>5759.0</v>
      </c>
      <c r="G18" s="36" t="n">
        <f>680</f>
        <v>680.0</v>
      </c>
      <c r="H18" s="21" t="n">
        <f>11704</f>
        <v>11704.0</v>
      </c>
      <c r="I18" s="36" t="n">
        <f>900</f>
        <v>900.0</v>
      </c>
      <c r="J18" s="21" t="n">
        <f>111984840</f>
        <v>1.1198484E8</v>
      </c>
      <c r="K18" s="36" t="n">
        <f>892640</f>
        <v>892640.0</v>
      </c>
      <c r="L18" s="21" t="n">
        <f>160796050</f>
        <v>1.6079605E8</v>
      </c>
      <c r="M18" s="36" t="n">
        <f>5201250</f>
        <v>5201250.0</v>
      </c>
      <c r="N18" s="21" t="n">
        <f>272780890</f>
        <v>2.7278089E8</v>
      </c>
      <c r="O18" s="36" t="n">
        <f>6093890</f>
        <v>6093890.0</v>
      </c>
    </row>
    <row r="19" spans="1:15" ht="24.9" customHeight="1">
      <c r="A19" s="38"/>
      <c r="B19" s="62"/>
      <c r="C19" s="24" t="s">
        <v>18</v>
      </c>
      <c r="D19" s="25" t="n">
        <f>16604</f>
        <v>16604.0</v>
      </c>
      <c r="E19" s="37" t="n">
        <f>790</f>
        <v>790.0</v>
      </c>
      <c r="F19" s="25" t="n">
        <f>13651</f>
        <v>13651.0</v>
      </c>
      <c r="G19" s="37" t="n">
        <f>820</f>
        <v>820.0</v>
      </c>
      <c r="H19" s="25" t="n">
        <f>30255</f>
        <v>30255.0</v>
      </c>
      <c r="I19" s="37" t="n">
        <f>1610</f>
        <v>1610.0</v>
      </c>
      <c r="J19" s="25" t="n">
        <f>342382780</f>
        <v>3.4238278E8</v>
      </c>
      <c r="K19" s="37" t="n">
        <f>6893980</f>
        <v>6893980.0</v>
      </c>
      <c r="L19" s="25" t="n">
        <f>617481080</f>
        <v>6.1748108E8</v>
      </c>
      <c r="M19" s="37" t="n">
        <f>12737980</f>
        <v>1.273798E7</v>
      </c>
      <c r="N19" s="25" t="n">
        <f>959863860</f>
        <v>9.5986386E8</v>
      </c>
      <c r="O19" s="37" t="n">
        <f>19631960</f>
        <v>1.963196E7</v>
      </c>
    </row>
    <row r="20" spans="1:15" ht="24.9" customHeight="1">
      <c r="A20" s="38"/>
      <c r="B20" s="61" t="s">
        <v>106</v>
      </c>
      <c r="C20" s="16" t="s">
        <v>15</v>
      </c>
      <c r="D20" s="17" t="n">
        <f>300</f>
        <v>300.0</v>
      </c>
      <c r="E20" s="35" t="n">
        <f>300</f>
        <v>300.0</v>
      </c>
      <c r="F20" s="17" t="n">
        <f>303</f>
        <v>303.0</v>
      </c>
      <c r="G20" s="35" t="n">
        <f>303</f>
        <v>303.0</v>
      </c>
      <c r="H20" s="17" t="n">
        <f>603</f>
        <v>603.0</v>
      </c>
      <c r="I20" s="35" t="n">
        <f>603</f>
        <v>603.0</v>
      </c>
      <c r="J20" s="17" t="n">
        <f>535000000</f>
        <v>5.35E8</v>
      </c>
      <c r="K20" s="35" t="n">
        <f>535000000</f>
        <v>5.35E8</v>
      </c>
      <c r="L20" s="17" t="n">
        <f>815823000</f>
        <v>8.15823E8</v>
      </c>
      <c r="M20" s="35" t="n">
        <f>815823000</f>
        <v>8.15823E8</v>
      </c>
      <c r="N20" s="17" t="n">
        <f>1350823000</f>
        <v>1.350823E9</v>
      </c>
      <c r="O20" s="35" t="n">
        <f>1350823000</f>
        <v>1.350823E9</v>
      </c>
    </row>
    <row r="21" spans="1:15" ht="24.9" customHeight="1">
      <c r="A21" s="38"/>
      <c r="B21" s="62"/>
      <c r="C21" s="20" t="s">
        <v>16</v>
      </c>
      <c r="D21" s="21" t="n">
        <f>510</f>
        <v>510.0</v>
      </c>
      <c r="E21" s="36" t="n">
        <f>510</f>
        <v>510.0</v>
      </c>
      <c r="F21" s="21" t="n">
        <f>990</f>
        <v>990.0</v>
      </c>
      <c r="G21" s="36" t="n">
        <f>960</f>
        <v>960.0</v>
      </c>
      <c r="H21" s="21" t="n">
        <f>1500</f>
        <v>1500.0</v>
      </c>
      <c r="I21" s="36" t="n">
        <f>1470</f>
        <v>1470.0</v>
      </c>
      <c r="J21" s="21" t="n">
        <f>295100000</f>
        <v>2.951E8</v>
      </c>
      <c r="K21" s="36" t="n">
        <f>295100000</f>
        <v>2.951E8</v>
      </c>
      <c r="L21" s="21" t="n">
        <f>540080000</f>
        <v>5.4008E8</v>
      </c>
      <c r="M21" s="36" t="n">
        <f>539300000</f>
        <v>5.393E8</v>
      </c>
      <c r="N21" s="21" t="n">
        <f>835180000</f>
        <v>8.3518E8</v>
      </c>
      <c r="O21" s="36" t="n">
        <f>834400000</f>
        <v>8.344E8</v>
      </c>
    </row>
    <row r="22" spans="1:15" ht="24.9" customHeight="1">
      <c r="A22" s="38"/>
      <c r="B22" s="62"/>
      <c r="C22" s="20" t="s">
        <v>17</v>
      </c>
      <c r="D22" s="21" t="n">
        <f>4415</f>
        <v>4415.0</v>
      </c>
      <c r="E22" s="36" t="n">
        <f>4385</f>
        <v>4385.0</v>
      </c>
      <c r="F22" s="21" t="n">
        <f>315</f>
        <v>315.0</v>
      </c>
      <c r="G22" s="36" t="n">
        <f>285</f>
        <v>285.0</v>
      </c>
      <c r="H22" s="21" t="n">
        <f>4730</f>
        <v>4730.0</v>
      </c>
      <c r="I22" s="36" t="n">
        <f>4670</f>
        <v>4670.0</v>
      </c>
      <c r="J22" s="21" t="n">
        <f>640711000</f>
        <v>6.40711E8</v>
      </c>
      <c r="K22" s="36" t="n">
        <f>627361000</f>
        <v>6.27361E8</v>
      </c>
      <c r="L22" s="21" t="n">
        <f>111469000</f>
        <v>1.11469E8</v>
      </c>
      <c r="M22" s="36" t="n">
        <f>110209000</f>
        <v>1.10209E8</v>
      </c>
      <c r="N22" s="21" t="n">
        <f>752180000</f>
        <v>7.5218E8</v>
      </c>
      <c r="O22" s="36" t="n">
        <f>737570000</f>
        <v>7.3757E8</v>
      </c>
    </row>
    <row r="23" spans="1:15" ht="24.9" customHeight="1">
      <c r="A23" s="38"/>
      <c r="B23" s="62"/>
      <c r="C23" s="24" t="s">
        <v>18</v>
      </c>
      <c r="D23" s="25" t="n">
        <f>5225</f>
        <v>5225.0</v>
      </c>
      <c r="E23" s="37" t="n">
        <f>5195</f>
        <v>5195.0</v>
      </c>
      <c r="F23" s="25" t="n">
        <f>1608</f>
        <v>1608.0</v>
      </c>
      <c r="G23" s="37" t="n">
        <f>1548</f>
        <v>1548.0</v>
      </c>
      <c r="H23" s="25" t="n">
        <f>6833</f>
        <v>6833.0</v>
      </c>
      <c r="I23" s="37" t="n">
        <f>6743</f>
        <v>6743.0</v>
      </c>
      <c r="J23" s="25" t="n">
        <f>1470811000</f>
        <v>1.470811E9</v>
      </c>
      <c r="K23" s="37" t="n">
        <f>1457461000</f>
        <v>1.457461E9</v>
      </c>
      <c r="L23" s="25" t="n">
        <f>1467372000</f>
        <v>1.467372E9</v>
      </c>
      <c r="M23" s="37" t="n">
        <f>1465332000</f>
        <v>1.465332E9</v>
      </c>
      <c r="N23" s="25" t="n">
        <f>2938183000</f>
        <v>2.938183E9</v>
      </c>
      <c r="O23" s="37" t="n">
        <f>2922793000</f>
        <v>2.922793E9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10</f>
        <v>10.0</v>
      </c>
      <c r="G36" s="18" t="n">
        <f>0</f>
        <v>0.0</v>
      </c>
      <c r="H36" s="17" t="n">
        <f>10</f>
        <v>10.0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4750000</f>
        <v>4750000.0</v>
      </c>
      <c r="M36" s="18" t="n">
        <f>0</f>
        <v>0.0</v>
      </c>
      <c r="N36" s="17" t="n">
        <f>4750000</f>
        <v>4750000.0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10</f>
        <v>10.0</v>
      </c>
      <c r="G37" s="22" t="n">
        <f>0</f>
        <v>0.0</v>
      </c>
      <c r="H37" s="21" t="n">
        <f>10</f>
        <v>10.0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4100000</f>
        <v>4100000.0</v>
      </c>
      <c r="M37" s="22" t="n">
        <f>0</f>
        <v>0.0</v>
      </c>
      <c r="N37" s="21" t="n">
        <f>4100000</f>
        <v>4100000.0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45</f>
        <v>45.0</v>
      </c>
      <c r="E38" s="36" t="n">
        <f>0</f>
        <v>0.0</v>
      </c>
      <c r="F38" s="21" t="n">
        <f>20</f>
        <v>20.0</v>
      </c>
      <c r="G38" s="36" t="n">
        <f>0</f>
        <v>0.0</v>
      </c>
      <c r="H38" s="21" t="n">
        <f>65</f>
        <v>65.0</v>
      </c>
      <c r="I38" s="36" t="n">
        <f>0</f>
        <v>0.0</v>
      </c>
      <c r="J38" s="21" t="n">
        <f>6100000</f>
        <v>6100000.0</v>
      </c>
      <c r="K38" s="36" t="n">
        <f>0</f>
        <v>0.0</v>
      </c>
      <c r="L38" s="21" t="n">
        <f>2000000</f>
        <v>2000000.0</v>
      </c>
      <c r="M38" s="36" t="n">
        <f>0</f>
        <v>0.0</v>
      </c>
      <c r="N38" s="21" t="n">
        <f>8100000</f>
        <v>8100000.0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45</f>
        <v>45.0</v>
      </c>
      <c r="E39" s="37" t="n">
        <f>0</f>
        <v>0.0</v>
      </c>
      <c r="F39" s="25" t="n">
        <f>40</f>
        <v>40.0</v>
      </c>
      <c r="G39" s="37" t="n">
        <f>0</f>
        <v>0.0</v>
      </c>
      <c r="H39" s="25" t="n">
        <f>85</f>
        <v>85.0</v>
      </c>
      <c r="I39" s="37" t="n">
        <f>0</f>
        <v>0.0</v>
      </c>
      <c r="J39" s="25" t="n">
        <f>6100000</f>
        <v>6100000.0</v>
      </c>
      <c r="K39" s="37" t="n">
        <f>0</f>
        <v>0.0</v>
      </c>
      <c r="L39" s="25" t="n">
        <f>10850000</f>
        <v>1.085E7</v>
      </c>
      <c r="M39" s="37" t="n">
        <f>0</f>
        <v>0.0</v>
      </c>
      <c r="N39" s="25" t="n">
        <f>16950000</f>
        <v>1.695E7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780</f>
        <v>780.0</v>
      </c>
      <c r="E41" s="36" t="n">
        <f>0</f>
        <v>0.0</v>
      </c>
      <c r="F41" s="21" t="n">
        <f>554</f>
        <v>554.0</v>
      </c>
      <c r="G41" s="36" t="n">
        <f>0</f>
        <v>0.0</v>
      </c>
      <c r="H41" s="21" t="n">
        <f>1334</f>
        <v>1334.0</v>
      </c>
      <c r="I41" s="36" t="n">
        <f>0</f>
        <v>0.0</v>
      </c>
      <c r="J41" s="21" t="n">
        <f>11280805</f>
        <v>1.1280805E7</v>
      </c>
      <c r="K41" s="36" t="n">
        <f>0</f>
        <v>0.0</v>
      </c>
      <c r="L41" s="21" t="n">
        <f>1576266</f>
        <v>1576266.0</v>
      </c>
      <c r="M41" s="36" t="n">
        <f>0</f>
        <v>0.0</v>
      </c>
      <c r="N41" s="21" t="n">
        <f>12857071</f>
        <v>1.2857071E7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1525</f>
        <v>1525.0</v>
      </c>
      <c r="E42" s="36" t="n">
        <f>100</f>
        <v>100.0</v>
      </c>
      <c r="F42" s="21" t="n">
        <f>10151</f>
        <v>10151.0</v>
      </c>
      <c r="G42" s="36" t="n">
        <f>0</f>
        <v>0.0</v>
      </c>
      <c r="H42" s="21" t="n">
        <f>11676</f>
        <v>11676.0</v>
      </c>
      <c r="I42" s="36" t="n">
        <f>100</f>
        <v>100.0</v>
      </c>
      <c r="J42" s="21" t="n">
        <f>12445420</f>
        <v>1.244542E7</v>
      </c>
      <c r="K42" s="36" t="n">
        <f>460000</f>
        <v>460000.0</v>
      </c>
      <c r="L42" s="21" t="n">
        <f>5269730</f>
        <v>5269730.0</v>
      </c>
      <c r="M42" s="36" t="n">
        <f>0</f>
        <v>0.0</v>
      </c>
      <c r="N42" s="21" t="n">
        <f>17715150</f>
        <v>1.771515E7</v>
      </c>
      <c r="O42" s="36" t="n">
        <f>460000</f>
        <v>460000.0</v>
      </c>
    </row>
    <row r="43" spans="1:15" ht="24.9" customHeight="1">
      <c r="A43" s="38"/>
      <c r="B43" s="62"/>
      <c r="C43" s="24" t="s">
        <v>18</v>
      </c>
      <c r="D43" s="25" t="n">
        <f>2305</f>
        <v>2305.0</v>
      </c>
      <c r="E43" s="37" t="n">
        <f>100</f>
        <v>100.0</v>
      </c>
      <c r="F43" s="25" t="n">
        <f>10705</f>
        <v>10705.0</v>
      </c>
      <c r="G43" s="37" t="n">
        <f>0</f>
        <v>0.0</v>
      </c>
      <c r="H43" s="25" t="n">
        <f>13010</f>
        <v>13010.0</v>
      </c>
      <c r="I43" s="37" t="n">
        <f>100</f>
        <v>100.0</v>
      </c>
      <c r="J43" s="25" t="n">
        <f>23726225</f>
        <v>2.3726225E7</v>
      </c>
      <c r="K43" s="37" t="n">
        <f>460000</f>
        <v>460000.0</v>
      </c>
      <c r="L43" s="25" t="n">
        <f>6845996</f>
        <v>6845996.0</v>
      </c>
      <c r="M43" s="37" t="n">
        <f>0</f>
        <v>0.0</v>
      </c>
      <c r="N43" s="25" t="n">
        <f>30572221</f>
        <v>3.0572221E7</v>
      </c>
      <c r="O43" s="37" t="n">
        <f>460000</f>
        <v>460000.0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