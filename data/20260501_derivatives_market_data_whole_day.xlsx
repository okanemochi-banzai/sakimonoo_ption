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<sst xmlns="http://schemas.openxmlformats.org/spreadsheetml/2006/main" count="528" uniqueCount="129">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</sst>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DATE(2026,05,01)</f>
        <v>46143.0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DATE(2026,05,01)</f>
        <v>46143.0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884857.0</f>
        <v>884857.0</v>
      </c>
      <c r="E12" s="18" t="n">
        <f>35453.0</f>
        <v>35453.0</v>
      </c>
      <c r="F12" s="19" t="n">
        <f>1.0</f>
        <v>1.0</v>
      </c>
      <c r="G12" s="17" t="n">
        <f>5884875754060.0</f>
        <v>5.88487575406E12</v>
      </c>
      <c r="H12" s="18" t="n">
        <f>368284400710.0</f>
        <v>3.6828440071E11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327590.0</f>
        <v>327590.0</v>
      </c>
      <c r="E13" s="22" t="n">
        <f>20041.0</f>
        <v>20041.0</v>
      </c>
      <c r="F13" s="23" t="n">
        <f>1.0</f>
        <v>1.0</v>
      </c>
      <c r="G13" s="21" t="n">
        <f>3826401831920.0</f>
        <v>3.82640183192E12</v>
      </c>
      <c r="H13" s="22" t="n">
        <f>294611251120.0</f>
        <v>2.9461125112E11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298961.0</f>
        <v>298961.0</v>
      </c>
      <c r="E14" s="22" t="n">
        <f>43132.0</f>
        <v>43132.0</v>
      </c>
      <c r="F14" s="23" t="n">
        <f>1.0</f>
        <v>1.0</v>
      </c>
      <c r="G14" s="21" t="n">
        <f>4524256506973.0</f>
        <v>4.524256506973E12</v>
      </c>
      <c r="H14" s="22" t="n">
        <f>924703268698.0</f>
        <v>9.24703268698E11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1511408.0</f>
        <v>1511408.0</v>
      </c>
      <c r="E15" s="26" t="n">
        <f>98626.0</f>
        <v>98626.0</v>
      </c>
      <c r="F15" s="27" t="n">
        <f>1.0</f>
        <v>1.0</v>
      </c>
      <c r="G15" s="25" t="n">
        <f>14235534092953.0</f>
        <v>1.4235534092953E13</v>
      </c>
      <c r="H15" s="26" t="n">
        <f>1587598920528.0</f>
        <v>1.587598920528E12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14954.0</f>
        <v>14954.0</v>
      </c>
      <c r="E16" s="18" t="n">
        <f>734.0</f>
        <v>734.0</v>
      </c>
      <c r="F16" s="19" t="n">
        <f>0.017</f>
        <v>0.017</v>
      </c>
      <c r="G16" s="17" t="n">
        <f>1809411498750.0</f>
        <v>1.80941149875E12</v>
      </c>
      <c r="H16" s="18" t="n">
        <f>94876240000.0</f>
        <v>9.487624E10</v>
      </c>
      <c r="I16" s="19" t="n">
        <f>0.307</f>
        <v>0.307</v>
      </c>
    </row>
    <row r="17" spans="1:9" ht="24.9" customHeight="1">
      <c r="A17" s="41"/>
      <c r="B17" s="39"/>
      <c r="C17" s="20" t="s">
        <v>16</v>
      </c>
      <c r="D17" s="21" t="n">
        <f>13503.0</f>
        <v>13503.0</v>
      </c>
      <c r="E17" s="22" t="n">
        <f>950.0</f>
        <v>950.0</v>
      </c>
      <c r="F17" s="23" t="n">
        <f>0.041</f>
        <v>0.041</v>
      </c>
      <c r="G17" s="21" t="n">
        <f>1693094174000.0</f>
        <v>1.693094174E12</v>
      </c>
      <c r="H17" s="22" t="n">
        <f>122938780000.0</f>
        <v>1.2293878E11</v>
      </c>
      <c r="I17" s="23" t="n">
        <f>0.442</f>
        <v>0.442</v>
      </c>
    </row>
    <row r="18" spans="1:9" ht="24.9" customHeight="1">
      <c r="A18" s="41"/>
      <c r="B18" s="39"/>
      <c r="C18" s="20" t="s">
        <v>17</v>
      </c>
      <c r="D18" s="21" t="n">
        <f>16838.0</f>
        <v>16838.0</v>
      </c>
      <c r="E18" s="22" t="n">
        <f>1680.0</f>
        <v>1680.0</v>
      </c>
      <c r="F18" s="23" t="n">
        <f>0.056</f>
        <v>0.056</v>
      </c>
      <c r="G18" s="21" t="n">
        <f>1888802790625.0</f>
        <v>1.888802790625E12</v>
      </c>
      <c r="H18" s="22" t="n">
        <f>217454670000.0</f>
        <v>2.1745467E11</v>
      </c>
      <c r="I18" s="23" t="n">
        <f>0.417</f>
        <v>0.417</v>
      </c>
    </row>
    <row r="19" spans="1:9" ht="24.9" customHeight="1">
      <c r="A19" s="41"/>
      <c r="B19" s="39"/>
      <c r="C19" s="24" t="s">
        <v>18</v>
      </c>
      <c r="D19" s="25" t="n">
        <f>45295.0</f>
        <v>45295.0</v>
      </c>
      <c r="E19" s="26" t="n">
        <f>3364.0</f>
        <v>3364.0</v>
      </c>
      <c r="F19" s="27" t="n">
        <f>0.03</f>
        <v>0.03</v>
      </c>
      <c r="G19" s="25" t="n">
        <f>5391308463375.0</f>
        <v>5.391308463375E12</v>
      </c>
      <c r="H19" s="26" t="n">
        <f>435269690000.0</f>
        <v>4.3526969E11</v>
      </c>
      <c r="I19" s="27" t="n">
        <f>0.379</f>
        <v>0.379</v>
      </c>
    </row>
    <row r="20" spans="1:9" ht="24.9" customHeight="1">
      <c r="A20" s="41"/>
      <c r="B20" s="39" t="s">
        <v>21</v>
      </c>
      <c r="C20" s="16" t="s">
        <v>15</v>
      </c>
      <c r="D20" s="17" t="n">
        <f>842680.0</f>
        <v>842680.0</v>
      </c>
      <c r="E20" s="18" t="n">
        <f>34719.0</f>
        <v>34719.0</v>
      </c>
      <c r="F20" s="19" t="n">
        <f>0.952</f>
        <v>0.952</v>
      </c>
      <c r="G20" s="17" t="n">
        <f>3793743100260.0</f>
        <v>3.79374310026E12</v>
      </c>
      <c r="H20" s="18" t="n">
        <f>273408160710.0</f>
        <v>2.7340816071E11</v>
      </c>
      <c r="I20" s="19" t="n">
        <f>0.645</f>
        <v>0.645</v>
      </c>
    </row>
    <row r="21" spans="1:9" ht="24.9" customHeight="1">
      <c r="A21" s="41"/>
      <c r="B21" s="39"/>
      <c r="C21" s="20" t="s">
        <v>16</v>
      </c>
      <c r="D21" s="21" t="n">
        <f>304439.0</f>
        <v>304439.0</v>
      </c>
      <c r="E21" s="22" t="n">
        <f>19076.0</f>
        <v>19076.0</v>
      </c>
      <c r="F21" s="23" t="n">
        <f>0.929</f>
        <v>0.929</v>
      </c>
      <c r="G21" s="21" t="n">
        <f>2026670382820.0</f>
        <v>2.02667038282E12</v>
      </c>
      <c r="H21" s="22" t="n">
        <f>171542223120.0</f>
        <v>1.7154222312E11</v>
      </c>
      <c r="I21" s="23" t="n">
        <f>0.53</f>
        <v>0.53</v>
      </c>
    </row>
    <row r="22" spans="1:9" ht="24.9" customHeight="1">
      <c r="A22" s="41"/>
      <c r="B22" s="39"/>
      <c r="C22" s="20" t="s">
        <v>17</v>
      </c>
      <c r="D22" s="21" t="n">
        <f>270537.0</f>
        <v>270537.0</v>
      </c>
      <c r="E22" s="22" t="n">
        <f>41451.0</f>
        <v>41451.0</v>
      </c>
      <c r="F22" s="23" t="n">
        <f>0.905</f>
        <v>0.905</v>
      </c>
      <c r="G22" s="21" t="n">
        <f>2552113685548.0</f>
        <v>2.552113685548E12</v>
      </c>
      <c r="H22" s="22" t="n">
        <f>707246563698.0</f>
        <v>7.07246563698E11</v>
      </c>
      <c r="I22" s="23" t="n">
        <f>0.564</f>
        <v>0.564</v>
      </c>
    </row>
    <row r="23" spans="1:9" ht="24.9" customHeight="1">
      <c r="A23" s="41"/>
      <c r="B23" s="39"/>
      <c r="C23" s="24" t="s">
        <v>18</v>
      </c>
      <c r="D23" s="25" t="n">
        <f>1417656.0</f>
        <v>1417656.0</v>
      </c>
      <c r="E23" s="26" t="n">
        <f>95246.0</f>
        <v>95246.0</v>
      </c>
      <c r="F23" s="27" t="n">
        <f>0.938</f>
        <v>0.938</v>
      </c>
      <c r="G23" s="25" t="n">
        <f>8372527168628.0</f>
        <v>8.372527168628E12</v>
      </c>
      <c r="H23" s="26" t="n">
        <f>1152196947528.0</f>
        <v>1.152196947528E12</v>
      </c>
      <c r="I23" s="27" t="n">
        <f>0.588</f>
        <v>0.588</v>
      </c>
    </row>
    <row r="24" spans="1:9" ht="24.9" customHeight="1">
      <c r="A24" s="41"/>
      <c r="B24" s="39" t="s">
        <v>22</v>
      </c>
      <c r="C24" s="16" t="s">
        <v>15</v>
      </c>
      <c r="D24" s="17" t="n">
        <f>26981.0</f>
        <v>26981.0</v>
      </c>
      <c r="E24" s="18" t="n">
        <f>0.0</f>
        <v>0.0</v>
      </c>
      <c r="F24" s="19" t="n">
        <f>0.03</f>
        <v>0.03</v>
      </c>
      <c r="G24" s="17" t="n">
        <f>280641684550.0</f>
        <v>2.8064168455E11</v>
      </c>
      <c r="H24" s="18" t="n">
        <f>0.0</f>
        <v>0.0</v>
      </c>
      <c r="I24" s="19" t="n">
        <f>0.048</f>
        <v>0.048</v>
      </c>
    </row>
    <row r="25" spans="1:9" ht="24.9" customHeight="1">
      <c r="A25" s="41"/>
      <c r="B25" s="39"/>
      <c r="C25" s="20" t="s">
        <v>16</v>
      </c>
      <c r="D25" s="21" t="n">
        <f>9335.0</f>
        <v>9335.0</v>
      </c>
      <c r="E25" s="22" t="n">
        <f>15.0</f>
        <v>15.0</v>
      </c>
      <c r="F25" s="23" t="n">
        <f>0.028</f>
        <v>0.028</v>
      </c>
      <c r="G25" s="21" t="n">
        <f>105239490100.0</f>
        <v>1.052394901E11</v>
      </c>
      <c r="H25" s="22" t="n">
        <f>130248000.0</f>
        <v>1.30248E8</v>
      </c>
      <c r="I25" s="23" t="n">
        <f>0.028</f>
        <v>0.028</v>
      </c>
    </row>
    <row r="26" spans="1:9" ht="24.9" customHeight="1">
      <c r="A26" s="41"/>
      <c r="B26" s="39"/>
      <c r="C26" s="20" t="s">
        <v>17</v>
      </c>
      <c r="D26" s="21" t="n">
        <f>10313.0</f>
        <v>10313.0</v>
      </c>
      <c r="E26" s="22" t="n">
        <f>1.0</f>
        <v>1.0</v>
      </c>
      <c r="F26" s="23" t="n">
        <f>0.034</f>
        <v>0.034</v>
      </c>
      <c r="G26" s="21" t="n">
        <f>77655421800.0</f>
        <v>7.76554218E10</v>
      </c>
      <c r="H26" s="22" t="n">
        <f>2035000.0</f>
        <v>2035000.0</v>
      </c>
      <c r="I26" s="23" t="n">
        <f>0.017</f>
        <v>0.017</v>
      </c>
    </row>
    <row r="27" spans="1:9" ht="24.9" customHeight="1">
      <c r="A27" s="42"/>
      <c r="B27" s="39"/>
      <c r="C27" s="24" t="s">
        <v>18</v>
      </c>
      <c r="D27" s="25" t="n">
        <f>46629.0</f>
        <v>46629.0</v>
      </c>
      <c r="E27" s="26" t="n">
        <f>16.0</f>
        <v>16.0</v>
      </c>
      <c r="F27" s="27" t="n">
        <f>0.031</f>
        <v>0.031</v>
      </c>
      <c r="G27" s="25" t="n">
        <f>463536596450.0</f>
        <v>4.6353659645E11</v>
      </c>
      <c r="H27" s="26" t="n">
        <f>132283000.0</f>
        <v>1.32283E8</v>
      </c>
      <c r="I27" s="27" t="n">
        <f>0.033</f>
        <v>0.033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242.0</f>
        <v>242.0</v>
      </c>
      <c r="E28" s="18" t="n">
        <f>0.0</f>
        <v>0.0</v>
      </c>
      <c r="F28" s="19" t="n">
        <f>0.0</f>
        <v>0.0</v>
      </c>
      <c r="G28" s="17" t="n">
        <f>1079470500.0</f>
        <v>1.0794705E9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313.0</f>
        <v>313.0</v>
      </c>
      <c r="E29" s="22" t="n">
        <f>0.0</f>
        <v>0.0</v>
      </c>
      <c r="F29" s="23" t="n">
        <f>0.001</f>
        <v>0.001</v>
      </c>
      <c r="G29" s="21" t="n">
        <f>1397785000.0</f>
        <v>1.397785E9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1273.0</f>
        <v>1273.0</v>
      </c>
      <c r="E30" s="22" t="n">
        <f>0.0</f>
        <v>0.0</v>
      </c>
      <c r="F30" s="23" t="n">
        <f>0.004</f>
        <v>0.004</v>
      </c>
      <c r="G30" s="21" t="n">
        <f>5684609000.0</f>
        <v>5.684609E9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1828.0</f>
        <v>1828.0</v>
      </c>
      <c r="E31" s="26" t="n">
        <f>0.0</f>
        <v>0.0</v>
      </c>
      <c r="F31" s="27" t="n">
        <f>0.001</f>
        <v>0.001</v>
      </c>
      <c r="G31" s="25" t="n">
        <f>8161864500.0</f>
        <v>8.1618645E9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46143.0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46143.0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21555</f>
        <v>21555.0</v>
      </c>
      <c r="E11" s="18" t="n">
        <f>5792</f>
        <v>5792.0</v>
      </c>
      <c r="F11" s="19" t="n">
        <f>1</f>
        <v>1.0</v>
      </c>
      <c r="G11" s="17" t="n">
        <f>3762418710</f>
        <v>3.76241871E9</v>
      </c>
      <c r="H11" s="18" t="n">
        <f>2583080910</f>
        <v>2.58308091E9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30043</f>
        <v>30043.0</v>
      </c>
      <c r="E12" s="22" t="n">
        <f>3939</f>
        <v>3939.0</v>
      </c>
      <c r="F12" s="23" t="n">
        <f>1</f>
        <v>1.0</v>
      </c>
      <c r="G12" s="21" t="n">
        <f>3817698870</f>
        <v>3.81769887E9</v>
      </c>
      <c r="H12" s="22" t="n">
        <f>2574786330</f>
        <v>2.57478633E9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65805</f>
        <v>65805.0</v>
      </c>
      <c r="E13" s="22" t="n">
        <f>25520</f>
        <v>25520.0</v>
      </c>
      <c r="F13" s="23" t="n">
        <f>1</f>
        <v>1.0</v>
      </c>
      <c r="G13" s="21" t="n">
        <f>30643185346</f>
        <v>3.0643185346E10</v>
      </c>
      <c r="H13" s="22" t="n">
        <f>27906530716</f>
        <v>2.7906530716E10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117403</f>
        <v>117403.0</v>
      </c>
      <c r="E14" s="26" t="n">
        <f>35251</f>
        <v>35251.0</v>
      </c>
      <c r="F14" s="27" t="n">
        <f>1</f>
        <v>1.0</v>
      </c>
      <c r="G14" s="25" t="n">
        <f>38223302926</f>
        <v>3.8223302926E10</v>
      </c>
      <c r="H14" s="26" t="n">
        <f>33064397956</f>
        <v>3.3064397956E10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58</f>
        <v>58.0</v>
      </c>
      <c r="E15" s="18" t="n">
        <f>0</f>
        <v>0.0</v>
      </c>
      <c r="F15" s="19" t="n">
        <f>0.003</f>
        <v>0.003</v>
      </c>
      <c r="G15" s="17" t="n">
        <f>17420000</f>
        <v>1.742E7</v>
      </c>
      <c r="H15" s="18" t="n">
        <f>0</f>
        <v>0.0</v>
      </c>
      <c r="I15" s="19" t="n">
        <f>0.005</f>
        <v>0.005</v>
      </c>
    </row>
    <row r="16" spans="1:9" ht="24.9" customHeight="1">
      <c r="A16" s="41"/>
      <c r="B16" s="39"/>
      <c r="C16" s="20" t="s">
        <v>16</v>
      </c>
      <c r="D16" s="21" t="n">
        <f>22</f>
        <v>22.0</v>
      </c>
      <c r="E16" s="22" t="n">
        <f>0</f>
        <v>0.0</v>
      </c>
      <c r="F16" s="23" t="n">
        <f>0.001</f>
        <v>0.001</v>
      </c>
      <c r="G16" s="21" t="n">
        <f>5740000</f>
        <v>5740000.0</v>
      </c>
      <c r="H16" s="22" t="n">
        <f>0</f>
        <v>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342</f>
        <v>342.0</v>
      </c>
      <c r="E17" s="22" t="n">
        <f>135</f>
        <v>135.0</v>
      </c>
      <c r="F17" s="23" t="n">
        <f>0.005</f>
        <v>0.005</v>
      </c>
      <c r="G17" s="21" t="n">
        <f>94460000</f>
        <v>9.446E7</v>
      </c>
      <c r="H17" s="22" t="n">
        <f>25000000</f>
        <v>2.5E7</v>
      </c>
      <c r="I17" s="23" t="n">
        <f>0.003</f>
        <v>0.003</v>
      </c>
    </row>
    <row r="18" spans="1:9" ht="24.9" customHeight="1">
      <c r="A18" s="41"/>
      <c r="B18" s="39"/>
      <c r="C18" s="24" t="s">
        <v>18</v>
      </c>
      <c r="D18" s="25" t="n">
        <f>422</f>
        <v>422.0</v>
      </c>
      <c r="E18" s="26" t="n">
        <f>135</f>
        <v>135.0</v>
      </c>
      <c r="F18" s="27" t="n">
        <f>0.004</f>
        <v>0.004</v>
      </c>
      <c r="G18" s="25" t="n">
        <f>117620000</f>
        <v>1.1762E8</v>
      </c>
      <c r="H18" s="26" t="n">
        <f>25000000</f>
        <v>2.5E7</v>
      </c>
      <c r="I18" s="27" t="n">
        <f>0.003</f>
        <v>0.003</v>
      </c>
    </row>
    <row r="19" spans="1:9" ht="24.9" customHeight="1">
      <c r="A19" s="41"/>
      <c r="B19" s="39" t="s">
        <v>31</v>
      </c>
      <c r="C19" s="16" t="s">
        <v>15</v>
      </c>
      <c r="D19" s="17" t="n">
        <f>21497</f>
        <v>21497.0</v>
      </c>
      <c r="E19" s="18" t="n">
        <f>5792</f>
        <v>5792.0</v>
      </c>
      <c r="F19" s="19" t="n">
        <f>0.997</f>
        <v>0.997</v>
      </c>
      <c r="G19" s="17" t="n">
        <f>3744998710</f>
        <v>3.74499871E9</v>
      </c>
      <c r="H19" s="18" t="n">
        <f>2583080910</f>
        <v>2.58308091E9</v>
      </c>
      <c r="I19" s="19" t="n">
        <f>0.995</f>
        <v>0.995</v>
      </c>
    </row>
    <row r="20" spans="1:9" ht="24.9" customHeight="1">
      <c r="A20" s="41"/>
      <c r="B20" s="39"/>
      <c r="C20" s="20" t="s">
        <v>16</v>
      </c>
      <c r="D20" s="21" t="n">
        <f>17516</f>
        <v>17516.0</v>
      </c>
      <c r="E20" s="22" t="n">
        <f>3939</f>
        <v>3939.0</v>
      </c>
      <c r="F20" s="23" t="n">
        <f>0.583</f>
        <v>0.583</v>
      </c>
      <c r="G20" s="21" t="n">
        <f>3785324230</f>
        <v>3.78532423E9</v>
      </c>
      <c r="H20" s="22" t="n">
        <f>2574786330</f>
        <v>2.57478633E9</v>
      </c>
      <c r="I20" s="23" t="n">
        <f>0.992</f>
        <v>0.992</v>
      </c>
    </row>
    <row r="21" spans="1:9" ht="24.9" customHeight="1">
      <c r="A21" s="41"/>
      <c r="B21" s="39"/>
      <c r="C21" s="20" t="s">
        <v>17</v>
      </c>
      <c r="D21" s="21" t="n">
        <f>39125</f>
        <v>39125.0</v>
      </c>
      <c r="E21" s="22" t="n">
        <f>19655</f>
        <v>19655.0</v>
      </c>
      <c r="F21" s="23" t="n">
        <f>0.595</f>
        <v>0.595</v>
      </c>
      <c r="G21" s="21" t="n">
        <f>30369077916</f>
        <v>3.0369077916E10</v>
      </c>
      <c r="H21" s="22" t="n">
        <f>27746703216</f>
        <v>2.7746703216E10</v>
      </c>
      <c r="I21" s="23" t="n">
        <f>0.991</f>
        <v>0.991</v>
      </c>
    </row>
    <row r="22" spans="1:9" ht="24.9" customHeight="1">
      <c r="A22" s="41"/>
      <c r="B22" s="39"/>
      <c r="C22" s="24" t="s">
        <v>18</v>
      </c>
      <c r="D22" s="25" t="n">
        <f>78138</f>
        <v>78138.0</v>
      </c>
      <c r="E22" s="26" t="n">
        <f>29386</f>
        <v>29386.0</v>
      </c>
      <c r="F22" s="27" t="n">
        <f>0.666</f>
        <v>0.666</v>
      </c>
      <c r="G22" s="25" t="n">
        <f>37899400856</f>
        <v>3.7899400856E10</v>
      </c>
      <c r="H22" s="26" t="n">
        <f>32904570456</f>
        <v>3.2904570456E10</v>
      </c>
      <c r="I22" s="27" t="n">
        <f>0.992</f>
        <v>0.992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12505</f>
        <v>12505.0</v>
      </c>
      <c r="E24" s="22" t="n">
        <f>0</f>
        <v>0.0</v>
      </c>
      <c r="F24" s="23" t="n">
        <f>0.416</f>
        <v>0.416</v>
      </c>
      <c r="G24" s="21" t="n">
        <f>26634640</f>
        <v>2.663464E7</v>
      </c>
      <c r="H24" s="22" t="n">
        <f>0</f>
        <v>0.0</v>
      </c>
      <c r="I24" s="23" t="n">
        <f>0.007</f>
        <v>0.007</v>
      </c>
    </row>
    <row r="25" spans="1:9" ht="24.9" customHeight="1">
      <c r="A25" s="41"/>
      <c r="B25" s="39"/>
      <c r="C25" s="20" t="s">
        <v>17</v>
      </c>
      <c r="D25" s="21" t="n">
        <f>26338</f>
        <v>26338.0</v>
      </c>
      <c r="E25" s="22" t="n">
        <f>5730</f>
        <v>5730.0</v>
      </c>
      <c r="F25" s="23" t="n">
        <f>0.4</f>
        <v>0.4</v>
      </c>
      <c r="G25" s="21" t="n">
        <f>179647430</f>
        <v>1.7964743E8</v>
      </c>
      <c r="H25" s="22" t="n">
        <f>134827500</f>
        <v>1.348275E8</v>
      </c>
      <c r="I25" s="23" t="n">
        <f>0.006</f>
        <v>0.006</v>
      </c>
    </row>
    <row r="26" spans="1:9" ht="24.9" customHeight="1">
      <c r="A26" s="41"/>
      <c r="B26" s="39"/>
      <c r="C26" s="24" t="s">
        <v>18</v>
      </c>
      <c r="D26" s="25" t="n">
        <f>38843</f>
        <v>38843.0</v>
      </c>
      <c r="E26" s="26" t="n">
        <f>5730</f>
        <v>5730.0</v>
      </c>
      <c r="F26" s="27" t="n">
        <f>0.331</f>
        <v>0.331</v>
      </c>
      <c r="G26" s="25" t="n">
        <f>206282070</f>
        <v>2.0628207E8</v>
      </c>
      <c r="H26" s="26" t="n">
        <f>134827500</f>
        <v>1.348275E8</v>
      </c>
      <c r="I26" s="27" t="n">
        <f>0.005</f>
        <v>0.005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46143.0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46143.0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11700.0</v>
      </c>
      <c r="F12" s="18" t="n">
        <f>958</f>
        <v>958.0</v>
      </c>
      <c r="G12" s="17" t="n">
        <v>6.9428895232E11</v>
      </c>
      <c r="H12" s="18" t="n">
        <f>56928249320</f>
        <v>5.692824932E10</v>
      </c>
    </row>
    <row r="13" spans="1:8" ht="24.9" customHeight="1">
      <c r="A13" s="51"/>
      <c r="B13" s="57"/>
      <c r="C13" s="39"/>
      <c r="D13" s="20" t="s">
        <v>16</v>
      </c>
      <c r="E13" s="21" t="n">
        <v>6952.0</v>
      </c>
      <c r="F13" s="22" t="n">
        <f>872</f>
        <v>872.0</v>
      </c>
      <c r="G13" s="21" t="n">
        <v>4.145338021E11</v>
      </c>
      <c r="H13" s="22" t="n">
        <f>51952452100</f>
        <v>5.19524521E10</v>
      </c>
    </row>
    <row r="14" spans="1:8" ht="24.9" customHeight="1">
      <c r="A14" s="51"/>
      <c r="B14" s="57"/>
      <c r="C14" s="39"/>
      <c r="D14" s="20" t="s">
        <v>17</v>
      </c>
      <c r="E14" s="21" t="n">
        <v>12367.0</v>
      </c>
      <c r="F14" s="22" t="n">
        <f>5278</f>
        <v>5278.0</v>
      </c>
      <c r="G14" s="21" t="n">
        <v>7.37475948348E11</v>
      </c>
      <c r="H14" s="22" t="n">
        <f>314669958348</f>
        <v>3.14669958348E11</v>
      </c>
    </row>
    <row r="15" spans="1:8" ht="24.9" customHeight="1">
      <c r="A15" s="51"/>
      <c r="B15" s="57"/>
      <c r="C15" s="39"/>
      <c r="D15" s="24" t="s">
        <v>18</v>
      </c>
      <c r="E15" s="25" t="n">
        <v>31019.0</v>
      </c>
      <c r="F15" s="26" t="n">
        <f>7108</f>
        <v>7108.0</v>
      </c>
      <c r="G15" s="25" t="n">
        <v>1.846298702768E12</v>
      </c>
      <c r="H15" s="26" t="n">
        <f>423550659768</f>
        <v>4.23550659768E11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291581.0</v>
      </c>
      <c r="F16" s="18" t="n">
        <f>32706</f>
        <v>32706.0</v>
      </c>
      <c r="G16" s="17" t="n">
        <v>1.73065041728E12</v>
      </c>
      <c r="H16" s="18" t="n">
        <f>194092400280</f>
        <v>1.9409240028E11</v>
      </c>
    </row>
    <row r="17" spans="1:8" ht="24.9" customHeight="1">
      <c r="A17" s="51"/>
      <c r="B17" s="57"/>
      <c r="C17" s="39"/>
      <c r="D17" s="20" t="s">
        <v>16</v>
      </c>
      <c r="E17" s="21" t="n">
        <v>130333.0</v>
      </c>
      <c r="F17" s="22" t="n">
        <f>17569</f>
        <v>17569.0</v>
      </c>
      <c r="G17" s="21" t="n">
        <v>7.7711499345E11</v>
      </c>
      <c r="H17" s="22" t="n">
        <f>104711238350</f>
        <v>1.0471123835E11</v>
      </c>
    </row>
    <row r="18" spans="1:8" ht="24.9" customHeight="1">
      <c r="A18" s="51"/>
      <c r="B18" s="57"/>
      <c r="C18" s="39"/>
      <c r="D18" s="20" t="s">
        <v>17</v>
      </c>
      <c r="E18" s="21" t="n">
        <v>121721.0</v>
      </c>
      <c r="F18" s="22" t="n">
        <f>30250</f>
        <v>30250.0</v>
      </c>
      <c r="G18" s="21" t="n">
        <v>7.2617319563E11</v>
      </c>
      <c r="H18" s="22" t="n">
        <f>180464129830</f>
        <v>1.8046412983E11</v>
      </c>
    </row>
    <row r="19" spans="1:8" ht="24.9" customHeight="1">
      <c r="A19" s="51"/>
      <c r="B19" s="57"/>
      <c r="C19" s="39"/>
      <c r="D19" s="24" t="s">
        <v>18</v>
      </c>
      <c r="E19" s="25" t="n">
        <v>543635.0</v>
      </c>
      <c r="F19" s="26" t="n">
        <f>80525</f>
        <v>80525.0</v>
      </c>
      <c r="G19" s="25" t="n">
        <v>3.23393860636E12</v>
      </c>
      <c r="H19" s="26" t="n">
        <f>479267768460</f>
        <v>4.7926776846E11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498827.0</v>
      </c>
      <c r="F20" s="18" t="str">
        <f>"－"</f>
        <v>－</v>
      </c>
      <c r="G20" s="17" t="n">
        <v>2.9601098565E11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139131.0</v>
      </c>
      <c r="F21" s="22" t="str">
        <f>"－"</f>
        <v>－</v>
      </c>
      <c r="G21" s="21" t="n">
        <v>8.296065855E10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100857.0</v>
      </c>
      <c r="F22" s="22" t="str">
        <f>"－"</f>
        <v>－</v>
      </c>
      <c r="G22" s="21" t="n">
        <v>6.0172837E10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738815.0</v>
      </c>
      <c r="F23" s="26" t="str">
        <f>"－"</f>
        <v>－</v>
      </c>
      <c r="G23" s="25" t="n">
        <v>4.391444812E11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27859.0</v>
      </c>
      <c r="F24" s="18" t="n">
        <f>555</f>
        <v>555.0</v>
      </c>
      <c r="G24" s="17" t="n">
        <v>1.0334557455E12</v>
      </c>
      <c r="H24" s="18" t="n">
        <f>20666810500</f>
        <v>2.06668105E10</v>
      </c>
    </row>
    <row r="25" spans="1:8" ht="24.9" customHeight="1">
      <c r="A25" s="51"/>
      <c r="B25" s="57"/>
      <c r="C25" s="39"/>
      <c r="D25" s="20" t="s">
        <v>16</v>
      </c>
      <c r="E25" s="21" t="n">
        <v>19497.0</v>
      </c>
      <c r="F25" s="22" t="n">
        <f>376</f>
        <v>376.0</v>
      </c>
      <c r="G25" s="21" t="n">
        <v>7.240430565E11</v>
      </c>
      <c r="H25" s="22" t="n">
        <f>13952646500</f>
        <v>1.39526465E10</v>
      </c>
    </row>
    <row r="26" spans="1:8" ht="24.9" customHeight="1">
      <c r="A26" s="51"/>
      <c r="B26" s="57"/>
      <c r="C26" s="39"/>
      <c r="D26" s="20" t="s">
        <v>17</v>
      </c>
      <c r="E26" s="21" t="n">
        <v>26829.0</v>
      </c>
      <c r="F26" s="22" t="n">
        <f>5657</f>
        <v>5657.0</v>
      </c>
      <c r="G26" s="21" t="n">
        <v>1.0009171973E12</v>
      </c>
      <c r="H26" s="22" t="n">
        <f>211071277300</f>
        <v>2.110712773E11</v>
      </c>
    </row>
    <row r="27" spans="1:8" ht="24.9" customHeight="1">
      <c r="A27" s="51"/>
      <c r="B27" s="57"/>
      <c r="C27" s="39"/>
      <c r="D27" s="24" t="s">
        <v>18</v>
      </c>
      <c r="E27" s="25" t="n">
        <v>74185.0</v>
      </c>
      <c r="F27" s="26" t="n">
        <f>6588</f>
        <v>6588.0</v>
      </c>
      <c r="G27" s="25" t="n">
        <v>2.7584159993E12</v>
      </c>
      <c r="H27" s="26" t="n">
        <f>245690734300</f>
        <v>2.456907343E11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8498.0</v>
      </c>
      <c r="F28" s="18" t="n">
        <f>431</f>
        <v>431.0</v>
      </c>
      <c r="G28" s="17" t="n">
        <v>3.151964362E10</v>
      </c>
      <c r="H28" s="18" t="n">
        <f>1598695620</f>
        <v>1.59869562E9</v>
      </c>
    </row>
    <row r="29" spans="1:8" ht="24.9" customHeight="1">
      <c r="A29" s="51"/>
      <c r="B29" s="57"/>
      <c r="C29" s="39"/>
      <c r="D29" s="20" t="s">
        <v>16</v>
      </c>
      <c r="E29" s="21" t="n">
        <v>6201.0</v>
      </c>
      <c r="F29" s="22" t="n">
        <f>234</f>
        <v>234.0</v>
      </c>
      <c r="G29" s="21" t="n">
        <v>2.30276294E10</v>
      </c>
      <c r="H29" s="22" t="n">
        <f>868951150</f>
        <v>8.6895115E8</v>
      </c>
    </row>
    <row r="30" spans="1:8" ht="24.9" customHeight="1">
      <c r="A30" s="51"/>
      <c r="B30" s="57"/>
      <c r="C30" s="39"/>
      <c r="D30" s="20" t="s">
        <v>17</v>
      </c>
      <c r="E30" s="21" t="n">
        <v>5349.0</v>
      </c>
      <c r="F30" s="22" t="n">
        <f>142</f>
        <v>142.0</v>
      </c>
      <c r="G30" s="21" t="n">
        <v>1.994917756E10</v>
      </c>
      <c r="H30" s="22" t="n">
        <f>529741810</f>
        <v>5.2974181E8</v>
      </c>
    </row>
    <row r="31" spans="1:8" ht="24.9" customHeight="1">
      <c r="A31" s="51"/>
      <c r="B31" s="57"/>
      <c r="C31" s="39"/>
      <c r="D31" s="24" t="s">
        <v>18</v>
      </c>
      <c r="E31" s="25" t="n">
        <v>20048.0</v>
      </c>
      <c r="F31" s="26" t="n">
        <f>807</f>
        <v>807.0</v>
      </c>
      <c r="G31" s="25" t="n">
        <v>7.449645058E10</v>
      </c>
      <c r="H31" s="26" t="n">
        <f>2997388580</f>
        <v>2.99738858E9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682.0</v>
      </c>
      <c r="F36" s="18" t="n">
        <f>0</f>
        <v>0.0</v>
      </c>
      <c r="G36" s="17" t="n">
        <v>2.30965E9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1103.0</v>
      </c>
      <c r="F37" s="22" t="n">
        <f>8</f>
        <v>8.0</v>
      </c>
      <c r="G37" s="21" t="n">
        <v>3.73275992E9</v>
      </c>
      <c r="H37" s="22" t="n">
        <f>27200920</f>
        <v>2.720092E7</v>
      </c>
    </row>
    <row r="38" spans="1:8" ht="24.9" customHeight="1">
      <c r="A38" s="51"/>
      <c r="B38" s="57"/>
      <c r="C38" s="39"/>
      <c r="D38" s="20" t="s">
        <v>17</v>
      </c>
      <c r="E38" s="21" t="n">
        <v>1474.0</v>
      </c>
      <c r="F38" s="22" t="n">
        <f>8</f>
        <v>8.0</v>
      </c>
      <c r="G38" s="21" t="n">
        <v>5.00643001E9</v>
      </c>
      <c r="H38" s="22" t="n">
        <f>27173010</f>
        <v>2.717301E7</v>
      </c>
    </row>
    <row r="39" spans="1:8" ht="24.9" customHeight="1">
      <c r="A39" s="51"/>
      <c r="B39" s="57"/>
      <c r="C39" s="39"/>
      <c r="D39" s="24" t="s">
        <v>18</v>
      </c>
      <c r="E39" s="25" t="n">
        <v>3259.0</v>
      </c>
      <c r="F39" s="26" t="n">
        <f>16</f>
        <v>16.0</v>
      </c>
      <c r="G39" s="25" t="n">
        <v>1.104883993E10</v>
      </c>
      <c r="H39" s="26" t="n">
        <f>54373930</f>
        <v>5.437393E7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10.0</v>
      </c>
      <c r="F45" s="22" t="n">
        <f>0</f>
        <v>0.0</v>
      </c>
      <c r="G45" s="21" t="n">
        <v>5.895E7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76.0</v>
      </c>
      <c r="F46" s="22" t="n">
        <f>76</f>
        <v>76.0</v>
      </c>
      <c r="G46" s="21" t="n">
        <v>4.5372E8</v>
      </c>
      <c r="H46" s="22" t="n">
        <f>453720000</f>
        <v>4.5372E8</v>
      </c>
    </row>
    <row r="47" spans="1:8" ht="24.9" customHeight="1">
      <c r="A47" s="51"/>
      <c r="B47" s="57"/>
      <c r="C47" s="39"/>
      <c r="D47" s="24" t="s">
        <v>18</v>
      </c>
      <c r="E47" s="25" t="n">
        <v>86.0</v>
      </c>
      <c r="F47" s="26" t="n">
        <f>76</f>
        <v>76.0</v>
      </c>
      <c r="G47" s="25" t="n">
        <v>5.1267E8</v>
      </c>
      <c r="H47" s="26" t="n">
        <f>453720000</f>
        <v>4.5372E8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29.0</v>
      </c>
      <c r="F48" s="18" t="n">
        <f>29</f>
        <v>29.0</v>
      </c>
      <c r="G48" s="17" t="n">
        <v>5.44395E7</v>
      </c>
      <c r="H48" s="18" t="n">
        <f>54439500</f>
        <v>5.44395E7</v>
      </c>
    </row>
    <row r="49" spans="1:8" ht="24.9" customHeight="1">
      <c r="A49" s="51"/>
      <c r="B49" s="57"/>
      <c r="C49" s="39"/>
      <c r="D49" s="20" t="s">
        <v>16</v>
      </c>
      <c r="E49" s="21" t="n">
        <v>41.0</v>
      </c>
      <c r="F49" s="22" t="n">
        <f>0</f>
        <v>0.0</v>
      </c>
      <c r="G49" s="21" t="n">
        <v>7.67265E7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147.0</v>
      </c>
      <c r="F50" s="22" t="n">
        <f>0</f>
        <v>0.0</v>
      </c>
      <c r="G50" s="21" t="n">
        <v>2.75908E8</v>
      </c>
      <c r="H50" s="22" t="n">
        <f>0</f>
        <v>0.0</v>
      </c>
    </row>
    <row r="51" spans="1:8" ht="24.9" customHeight="1">
      <c r="A51" s="51"/>
      <c r="B51" s="57"/>
      <c r="C51" s="39"/>
      <c r="D51" s="24" t="s">
        <v>18</v>
      </c>
      <c r="E51" s="25" t="n">
        <v>217.0</v>
      </c>
      <c r="F51" s="26" t="n">
        <f>29</f>
        <v>29.0</v>
      </c>
      <c r="G51" s="25" t="n">
        <v>4.07074E8</v>
      </c>
      <c r="H51" s="26" t="n">
        <f>54439500</f>
        <v>5.44395E7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1244.0</v>
      </c>
      <c r="F56" s="18" t="n">
        <f>31</f>
        <v>31.0</v>
      </c>
      <c r="G56" s="17" t="n">
        <v>9.30973E8</v>
      </c>
      <c r="H56" s="18" t="n">
        <f>23221000</f>
        <v>2.3221E7</v>
      </c>
    </row>
    <row r="57" spans="1:8" ht="24.9" customHeight="1">
      <c r="A57" s="51"/>
      <c r="B57" s="57"/>
      <c r="C57" s="39"/>
      <c r="D57" s="20" t="s">
        <v>16</v>
      </c>
      <c r="E57" s="21" t="n">
        <v>1057.0</v>
      </c>
      <c r="F57" s="22" t="n">
        <f>13</f>
        <v>13.0</v>
      </c>
      <c r="G57" s="21" t="n">
        <v>7.962731E8</v>
      </c>
      <c r="H57" s="22" t="n">
        <f>9766100</f>
        <v>9766100.0</v>
      </c>
    </row>
    <row r="58" spans="1:8" ht="24.9" customHeight="1">
      <c r="A58" s="51"/>
      <c r="B58" s="57"/>
      <c r="C58" s="39"/>
      <c r="D58" s="20" t="s">
        <v>17</v>
      </c>
      <c r="E58" s="21" t="n">
        <v>1314.0</v>
      </c>
      <c r="F58" s="22" t="n">
        <f>40</f>
        <v>40.0</v>
      </c>
      <c r="G58" s="21" t="n">
        <v>9.960924E8</v>
      </c>
      <c r="H58" s="22" t="n">
        <f>30563400</f>
        <v>3.05634E7</v>
      </c>
    </row>
    <row r="59" spans="1:8" ht="24.9" customHeight="1">
      <c r="A59" s="51"/>
      <c r="B59" s="57"/>
      <c r="C59" s="39"/>
      <c r="D59" s="24" t="s">
        <v>18</v>
      </c>
      <c r="E59" s="25" t="n">
        <v>3615.0</v>
      </c>
      <c r="F59" s="26" t="n">
        <f>84</f>
        <v>84.0</v>
      </c>
      <c r="G59" s="25" t="n">
        <v>2.7233385E9</v>
      </c>
      <c r="H59" s="26" t="n">
        <f>63550500</f>
        <v>6.35505E7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279.0</v>
      </c>
      <c r="F60" s="18" t="n">
        <f>9</f>
        <v>9.0</v>
      </c>
      <c r="G60" s="17" t="n">
        <v>1.37990649E9</v>
      </c>
      <c r="H60" s="18" t="n">
        <f>44344490</f>
        <v>4.434449E7</v>
      </c>
    </row>
    <row r="61" spans="1:8" ht="24.9" customHeight="1">
      <c r="A61" s="51"/>
      <c r="B61" s="57"/>
      <c r="C61" s="39"/>
      <c r="D61" s="20" t="s">
        <v>16</v>
      </c>
      <c r="E61" s="21" t="n">
        <v>37.0</v>
      </c>
      <c r="F61" s="22" t="n">
        <f>4</f>
        <v>4.0</v>
      </c>
      <c r="G61" s="21" t="n">
        <v>1.847226E8</v>
      </c>
      <c r="H61" s="22" t="n">
        <f>19968000</f>
        <v>1.9968E7</v>
      </c>
    </row>
    <row r="62" spans="1:8" ht="24.9" customHeight="1">
      <c r="A62" s="51"/>
      <c r="B62" s="57"/>
      <c r="C62" s="39"/>
      <c r="D62" s="20" t="s">
        <v>17</v>
      </c>
      <c r="E62" s="21" t="n">
        <v>1.0</v>
      </c>
      <c r="F62" s="22" t="n">
        <f>0</f>
        <v>0.0</v>
      </c>
      <c r="G62" s="21" t="n">
        <v>4990000.0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317.0</v>
      </c>
      <c r="F63" s="26" t="n">
        <f>13</f>
        <v>13.0</v>
      </c>
      <c r="G63" s="25" t="n">
        <v>1.56961909E9</v>
      </c>
      <c r="H63" s="26" t="n">
        <f>64312490</f>
        <v>6.431249E7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5.0</v>
      </c>
      <c r="F74" s="22" t="n">
        <f>0</f>
        <v>0.0</v>
      </c>
      <c r="G74" s="21" t="n">
        <v>4975000.0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5.0</v>
      </c>
      <c r="F75" s="26" t="n">
        <f>0</f>
        <v>0.0</v>
      </c>
      <c r="G75" s="25" t="n">
        <v>4975000.0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2.0</v>
      </c>
      <c r="F77" s="22" t="n">
        <f>0</f>
        <v>0.0</v>
      </c>
      <c r="G77" s="21" t="n">
        <v>650000.0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25.0</v>
      </c>
      <c r="F78" s="22" t="n">
        <f>0</f>
        <v>0.0</v>
      </c>
      <c r="G78" s="21" t="n">
        <v>8077500.0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27.0</v>
      </c>
      <c r="F79" s="26" t="n">
        <f>0</f>
        <v>0.0</v>
      </c>
      <c r="G79" s="25" t="n">
        <v>8727500.0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1981.0</v>
      </c>
      <c r="F92" s="18" t="n">
        <f>0</f>
        <v>0.0</v>
      </c>
      <c r="G92" s="17" t="n">
        <v>3.1423869E9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44.0</v>
      </c>
      <c r="F93" s="22" t="n">
        <f>0</f>
        <v>0.0</v>
      </c>
      <c r="G93" s="21" t="n">
        <v>6.88973E7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246.0</v>
      </c>
      <c r="F94" s="22" t="n">
        <f>0</f>
        <v>0.0</v>
      </c>
      <c r="G94" s="21" t="n">
        <v>3.85476E8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2271.0</v>
      </c>
      <c r="F95" s="26" t="n">
        <f>0</f>
        <v>0.0</v>
      </c>
      <c r="G95" s="25" t="n">
        <v>3.5967602E9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31.0</v>
      </c>
      <c r="F97" s="22" t="n">
        <f>0</f>
        <v>0.0</v>
      </c>
      <c r="G97" s="21" t="n">
        <v>7.12634E7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126.0</v>
      </c>
      <c r="F98" s="22" t="n">
        <f>0</f>
        <v>0.0</v>
      </c>
      <c r="G98" s="21" t="n">
        <v>2.896608E8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157.0</v>
      </c>
      <c r="F99" s="26" t="n">
        <f>0</f>
        <v>0.0</v>
      </c>
      <c r="G99" s="25" t="n">
        <v>3.609242E8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13755.0</v>
      </c>
      <c r="F108" s="18" t="n">
        <f>734</f>
        <v>734.0</v>
      </c>
      <c r="G108" s="17" t="n">
        <v>1.77971125E12</v>
      </c>
      <c r="H108" s="18" t="n">
        <f>94876240000</f>
        <v>9.487624E10</v>
      </c>
    </row>
    <row r="109" spans="1:8" ht="24.9" customHeight="1">
      <c r="A109" s="51"/>
      <c r="B109" s="57"/>
      <c r="C109" s="39"/>
      <c r="D109" s="20" t="s">
        <v>16</v>
      </c>
      <c r="E109" s="21" t="n">
        <v>13029.0</v>
      </c>
      <c r="F109" s="22" t="n">
        <f>950</f>
        <v>950.0</v>
      </c>
      <c r="G109" s="21" t="n">
        <v>1.68601088E12</v>
      </c>
      <c r="H109" s="22" t="n">
        <f>122938780000</f>
        <v>1.2293878E11</v>
      </c>
    </row>
    <row r="110" spans="1:8" ht="24.9" customHeight="1">
      <c r="A110" s="51"/>
      <c r="B110" s="57"/>
      <c r="C110" s="39"/>
      <c r="D110" s="20" t="s">
        <v>17</v>
      </c>
      <c r="E110" s="21" t="n">
        <v>14255.0</v>
      </c>
      <c r="F110" s="22" t="n">
        <f>1680</f>
        <v>1680.0</v>
      </c>
      <c r="G110" s="21" t="n">
        <v>1.84509924E12</v>
      </c>
      <c r="H110" s="22" t="n">
        <f>217454670000</f>
        <v>2.1745467E11</v>
      </c>
    </row>
    <row r="111" spans="1:8" ht="24.9" customHeight="1">
      <c r="A111" s="51"/>
      <c r="B111" s="57"/>
      <c r="C111" s="39"/>
      <c r="D111" s="24" t="s">
        <v>18</v>
      </c>
      <c r="E111" s="25" t="n">
        <v>41039.0</v>
      </c>
      <c r="F111" s="26" t="n">
        <f>3364</f>
        <v>3364.0</v>
      </c>
      <c r="G111" s="25" t="n">
        <v>5.31082137E12</v>
      </c>
      <c r="H111" s="26" t="n">
        <f>435269690000</f>
        <v>4.3526969E11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394.0</v>
      </c>
      <c r="F113" s="22" t="n">
        <f>0</f>
        <v>0.0</v>
      </c>
      <c r="G113" s="21" t="n">
        <v>5.099944E9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420.0</v>
      </c>
      <c r="F114" s="22" t="n">
        <f>0</f>
        <v>0.0</v>
      </c>
      <c r="G114" s="21" t="n">
        <v>5.43666E9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814.0</v>
      </c>
      <c r="F115" s="26" t="n">
        <f>0</f>
        <v>0.0</v>
      </c>
      <c r="G115" s="25" t="n">
        <v>1.0536604E10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1000.0</v>
      </c>
      <c r="F118" s="22" t="n">
        <f>0</f>
        <v>0.0</v>
      </c>
      <c r="G118" s="21" t="n">
        <v>9.4599E9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1000.0</v>
      </c>
      <c r="F119" s="26" t="n">
        <f>0</f>
        <v>0.0</v>
      </c>
      <c r="G119" s="25" t="n">
        <v>9.4599E9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1199.0</v>
      </c>
      <c r="F120" s="18" t="n">
        <f>0</f>
        <v>0.0</v>
      </c>
      <c r="G120" s="17" t="n">
        <v>2.970024875E10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80.0</v>
      </c>
      <c r="F121" s="22" t="n">
        <f>0</f>
        <v>0.0</v>
      </c>
      <c r="G121" s="21" t="n">
        <v>1.98335E9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1163.0</v>
      </c>
      <c r="F122" s="22" t="n">
        <f>0</f>
        <v>0.0</v>
      </c>
      <c r="G122" s="21" t="n">
        <v>2.8806990625E10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2442.0</v>
      </c>
      <c r="F123" s="26" t="n">
        <f>0</f>
        <v>0.0</v>
      </c>
      <c r="G123" s="25" t="n">
        <v>6.0490589375E10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9737.0</v>
      </c>
      <c r="F124" s="18" t="n">
        <f>0</f>
        <v>0.0</v>
      </c>
      <c r="G124" s="17" t="n">
        <v>2.35391175E11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3805.0</v>
      </c>
      <c r="F125" s="22" t="n">
        <f>3</f>
        <v>3.0</v>
      </c>
      <c r="G125" s="21" t="n">
        <v>9.1496518E10</v>
      </c>
      <c r="H125" s="22" t="n">
        <f>70566000</f>
        <v>7.0566E7</v>
      </c>
    </row>
    <row r="126" spans="1:8" ht="24.9" customHeight="1">
      <c r="A126" s="51"/>
      <c r="B126" s="57"/>
      <c r="C126" s="39"/>
      <c r="D126" s="20" t="s">
        <v>17</v>
      </c>
      <c r="E126" s="21" t="n">
        <v>2488.0</v>
      </c>
      <c r="F126" s="22" t="n">
        <f>0</f>
        <v>0.0</v>
      </c>
      <c r="G126" s="21" t="n">
        <v>5.9717056E10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16030.0</v>
      </c>
      <c r="F127" s="26" t="n">
        <f>3</f>
        <v>3.0</v>
      </c>
      <c r="G127" s="25" t="n">
        <v>3.86604749E11</v>
      </c>
      <c r="H127" s="26" t="n">
        <f>70566000</f>
        <v>7.0566E7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148.0</v>
      </c>
      <c r="F128" s="18" t="n">
        <f>0</f>
        <v>0.0</v>
      </c>
      <c r="G128" s="17" t="n">
        <v>3.568642E8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198.0</v>
      </c>
      <c r="F129" s="22" t="n">
        <f>0</f>
        <v>0.0</v>
      </c>
      <c r="G129" s="21" t="n">
        <v>4.761821E8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376.0</v>
      </c>
      <c r="F130" s="22" t="n">
        <f>0</f>
        <v>0.0</v>
      </c>
      <c r="G130" s="21" t="n">
        <v>9.028874E8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722.0</v>
      </c>
      <c r="F131" s="26" t="n">
        <f>0</f>
        <v>0.0</v>
      </c>
      <c r="G131" s="25" t="n">
        <v>1.7359337E9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14721.0</v>
      </c>
      <c r="F132" s="18" t="n">
        <f>0</f>
        <v>0.0</v>
      </c>
      <c r="G132" s="17" t="n">
        <v>3.567137625E10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1616.0</v>
      </c>
      <c r="F133" s="22" t="n">
        <f>0</f>
        <v>0.0</v>
      </c>
      <c r="G133" s="21" t="n">
        <v>3.90271805E9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2309.0</v>
      </c>
      <c r="F134" s="22" t="n">
        <f>0</f>
        <v>0.0</v>
      </c>
      <c r="G134" s="21" t="n">
        <v>5.55795055E9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18646.0</v>
      </c>
      <c r="F135" s="26" t="n">
        <f>0</f>
        <v>0.0</v>
      </c>
      <c r="G135" s="25" t="n">
        <v>4.513204485E10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194.0</v>
      </c>
      <c r="F136" s="18" t="n">
        <f>0</f>
        <v>0.0</v>
      </c>
      <c r="G136" s="17" t="n">
        <v>4.656059E8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35.0</v>
      </c>
      <c r="F137" s="22" t="n">
        <f>0</f>
        <v>0.0</v>
      </c>
      <c r="G137" s="21" t="n">
        <v>8.36403E7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61.0</v>
      </c>
      <c r="F138" s="22" t="n">
        <f>0</f>
        <v>0.0</v>
      </c>
      <c r="G138" s="21" t="n">
        <v>1.452755E8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290.0</v>
      </c>
      <c r="F139" s="26" t="n">
        <f>0</f>
        <v>0.0</v>
      </c>
      <c r="G139" s="25" t="n">
        <v>6.945217E8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1666.0</v>
      </c>
      <c r="F144" s="18" t="n">
        <f>0</f>
        <v>0.0</v>
      </c>
      <c r="G144" s="17" t="n">
        <v>8.184432E9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1366.0</v>
      </c>
      <c r="F145" s="22" t="n">
        <f>12</f>
        <v>12.0</v>
      </c>
      <c r="G145" s="21" t="n">
        <v>6.786216E9</v>
      </c>
      <c r="H145" s="22" t="n">
        <f>59682000</f>
        <v>5.9682E7</v>
      </c>
    </row>
    <row r="146" spans="1:8" ht="24.9" customHeight="1">
      <c r="A146" s="51"/>
      <c r="B146" s="57"/>
      <c r="C146" s="39"/>
      <c r="D146" s="20" t="s">
        <v>17</v>
      </c>
      <c r="E146" s="21" t="n">
        <v>1278.0</v>
      </c>
      <c r="F146" s="22" t="n">
        <f>0</f>
        <v>0.0</v>
      </c>
      <c r="G146" s="21" t="n">
        <v>6.3105665E9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4310.0</v>
      </c>
      <c r="F147" s="26" t="n">
        <f>12</f>
        <v>12.0</v>
      </c>
      <c r="G147" s="25" t="n">
        <v>2.12812145E10</v>
      </c>
      <c r="H147" s="26" t="n">
        <f>59682000</f>
        <v>5.9682E7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161.0</v>
      </c>
      <c r="F148" s="18" t="n">
        <f>0</f>
        <v>0.0</v>
      </c>
      <c r="G148" s="17" t="n">
        <v>1.590227E8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683.0</v>
      </c>
      <c r="F149" s="22" t="n">
        <f>0</f>
        <v>0.0</v>
      </c>
      <c r="G149" s="21" t="n">
        <v>6.867748E8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726.0</v>
      </c>
      <c r="F150" s="22" t="n">
        <f>0</f>
        <v>0.0</v>
      </c>
      <c r="G150" s="21" t="n">
        <v>7.242979E8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1570.0</v>
      </c>
      <c r="F151" s="26" t="n">
        <f>0</f>
        <v>0.0</v>
      </c>
      <c r="G151" s="25" t="n">
        <v>1.5700954E9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211.0</v>
      </c>
      <c r="F152" s="18" t="n">
        <f>0</f>
        <v>0.0</v>
      </c>
      <c r="G152" s="17" t="n">
        <v>2.075722E8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133.0</v>
      </c>
      <c r="F153" s="22" t="n">
        <f>0</f>
        <v>0.0</v>
      </c>
      <c r="G153" s="21" t="n">
        <v>1.3223705E8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275.0</v>
      </c>
      <c r="F154" s="22" t="n">
        <f>0</f>
        <v>0.0</v>
      </c>
      <c r="G154" s="21" t="n">
        <v>2.7155415E8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619.0</v>
      </c>
      <c r="F155" s="26" t="n">
        <f>0</f>
        <v>0.0</v>
      </c>
      <c r="G155" s="25" t="n">
        <v>6.113634E8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74.0</v>
      </c>
      <c r="F156" s="18" t="n">
        <f>0</f>
        <v>0.0</v>
      </c>
      <c r="G156" s="17" t="n">
        <v>7.18183E7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1301.0</v>
      </c>
      <c r="F157" s="22" t="n">
        <f>0</f>
        <v>0.0</v>
      </c>
      <c r="G157" s="21" t="n">
        <v>1.2765558E9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1573.0</v>
      </c>
      <c r="F158" s="22" t="n">
        <f>0</f>
        <v>0.0</v>
      </c>
      <c r="G158" s="21" t="n">
        <v>1.5182923E9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2948.0</v>
      </c>
      <c r="F159" s="26" t="n">
        <f>0</f>
        <v>0.0</v>
      </c>
      <c r="G159" s="25" t="n">
        <v>2.8666664E9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45.0</v>
      </c>
      <c r="F168" s="18" t="n">
        <f>0</f>
        <v>0.0</v>
      </c>
      <c r="G168" s="17" t="n">
        <v>9.1622E7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194.0</v>
      </c>
      <c r="F169" s="22" t="n">
        <f>0</f>
        <v>0.0</v>
      </c>
      <c r="G169" s="21" t="n">
        <v>3.91674E8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1227.0</v>
      </c>
      <c r="F170" s="22" t="n">
        <f>1</f>
        <v>1.0</v>
      </c>
      <c r="G170" s="21" t="n">
        <v>2.5075415E9</v>
      </c>
      <c r="H170" s="22" t="n">
        <f>2035000</f>
        <v>2035000.0</v>
      </c>
    </row>
    <row r="171" spans="1:8" ht="24.9" customHeight="1">
      <c r="A171" s="51"/>
      <c r="B171" s="57"/>
      <c r="C171" s="39"/>
      <c r="D171" s="24" t="s">
        <v>18</v>
      </c>
      <c r="E171" s="25" t="n">
        <v>1466.0</v>
      </c>
      <c r="F171" s="26" t="n">
        <f>1</f>
        <v>1.0</v>
      </c>
      <c r="G171" s="25" t="n">
        <v>2.9908375E9</v>
      </c>
      <c r="H171" s="26" t="n">
        <f>2035000</f>
        <v>2035000.0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24.0</v>
      </c>
      <c r="F176" s="18" t="n">
        <f>0</f>
        <v>0.0</v>
      </c>
      <c r="G176" s="17" t="n">
        <v>4.2196E7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4.0</v>
      </c>
      <c r="F177" s="22" t="n">
        <f>0</f>
        <v>0.0</v>
      </c>
      <c r="G177" s="21" t="n">
        <v>6974000.0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28.0</v>
      </c>
      <c r="F179" s="26" t="n">
        <f>0</f>
        <v>0.0</v>
      </c>
      <c r="G179" s="25" t="n">
        <v>4.917E7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242.0</v>
      </c>
      <c r="F204" s="18" t="n">
        <f>0</f>
        <v>0.0</v>
      </c>
      <c r="G204" s="17" t="n">
        <v>1.0794705E9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313.0</v>
      </c>
      <c r="F205" s="22" t="n">
        <f>0</f>
        <v>0.0</v>
      </c>
      <c r="G205" s="21" t="n">
        <v>1.397785E9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1273.0</v>
      </c>
      <c r="F206" s="22" t="n">
        <f>0</f>
        <v>0.0</v>
      </c>
      <c r="G206" s="21" t="n">
        <v>5.684609E9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1828.0</v>
      </c>
      <c r="F207" s="26" t="n">
        <f>0</f>
        <v>0.0</v>
      </c>
      <c r="G207" s="25" t="n">
        <v>8.1618645E9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46143.0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46143.0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8430</f>
        <v>8430.0</v>
      </c>
      <c r="E12" s="35" t="n">
        <f>4004</f>
        <v>4004.0</v>
      </c>
      <c r="F12" s="17" t="n">
        <f>3184</f>
        <v>3184.0</v>
      </c>
      <c r="G12" s="35" t="n">
        <f>1083</f>
        <v>1083.0</v>
      </c>
      <c r="H12" s="17" t="n">
        <f>11614</f>
        <v>11614.0</v>
      </c>
      <c r="I12" s="35" t="n">
        <f>5087</f>
        <v>5087.0</v>
      </c>
      <c r="J12" s="17" t="n">
        <f>1409768670</f>
        <v>1.40976867E9</v>
      </c>
      <c r="K12" s="35" t="n">
        <f>958386670</f>
        <v>9.5838667E8</v>
      </c>
      <c r="L12" s="17" t="n">
        <f>1421160410</f>
        <v>1.42116041E9</v>
      </c>
      <c r="M12" s="35" t="n">
        <f>986030410</f>
        <v>9.8603041E8</v>
      </c>
      <c r="N12" s="17" t="n">
        <f>2830929080</f>
        <v>2.83092908E9</v>
      </c>
      <c r="O12" s="35" t="n">
        <f>1944417080</f>
        <v>1.94441708E9</v>
      </c>
    </row>
    <row r="13" spans="1:15" ht="24.9" customHeight="1">
      <c r="A13" s="38"/>
      <c r="B13" s="62"/>
      <c r="C13" s="20" t="s">
        <v>16</v>
      </c>
      <c r="D13" s="21" t="n">
        <f>6673</f>
        <v>6673.0</v>
      </c>
      <c r="E13" s="36" t="n">
        <f>2157</f>
        <v>2157.0</v>
      </c>
      <c r="F13" s="21" t="n">
        <f>3240</f>
        <v>3240.0</v>
      </c>
      <c r="G13" s="36" t="n">
        <f>732</f>
        <v>732.0</v>
      </c>
      <c r="H13" s="21" t="n">
        <f>9913</f>
        <v>9913.0</v>
      </c>
      <c r="I13" s="36" t="n">
        <f>2889</f>
        <v>2889.0</v>
      </c>
      <c r="J13" s="21" t="n">
        <f>1930678430</f>
        <v>1.93067843E9</v>
      </c>
      <c r="K13" s="36" t="n">
        <f>1520477430</f>
        <v>1.52047743E9</v>
      </c>
      <c r="L13" s="21" t="n">
        <f>751509990</f>
        <v>7.5150999E8</v>
      </c>
      <c r="M13" s="36" t="n">
        <f>96204990</f>
        <v>9.620499E7</v>
      </c>
      <c r="N13" s="21" t="n">
        <f>2682188420</f>
        <v>2.68218842E9</v>
      </c>
      <c r="O13" s="36" t="n">
        <f>1616682420</f>
        <v>1.61668242E9</v>
      </c>
    </row>
    <row r="14" spans="1:15" ht="24.9" customHeight="1">
      <c r="A14" s="38"/>
      <c r="B14" s="62"/>
      <c r="C14" s="20" t="s">
        <v>17</v>
      </c>
      <c r="D14" s="21" t="n">
        <f>18312</f>
        <v>18312.0</v>
      </c>
      <c r="E14" s="36" t="n">
        <f>9777</f>
        <v>9777.0</v>
      </c>
      <c r="F14" s="21" t="n">
        <f>12302</f>
        <v>12302.0</v>
      </c>
      <c r="G14" s="36" t="n">
        <f>9058</f>
        <v>9058.0</v>
      </c>
      <c r="H14" s="21" t="n">
        <f>30614</f>
        <v>30614.0</v>
      </c>
      <c r="I14" s="36" t="n">
        <f>18835</f>
        <v>18835.0</v>
      </c>
      <c r="J14" s="21" t="n">
        <f>8543332050</f>
        <v>8.54333205E9</v>
      </c>
      <c r="K14" s="36" t="n">
        <f>7245580050</f>
        <v>7.24558005E9</v>
      </c>
      <c r="L14" s="21" t="n">
        <f>21540489436</f>
        <v>2.1540489436E10</v>
      </c>
      <c r="M14" s="36" t="n">
        <f>20389715436</f>
        <v>2.0389715436E10</v>
      </c>
      <c r="N14" s="21" t="n">
        <f>30083821486</f>
        <v>3.0083821486E10</v>
      </c>
      <c r="O14" s="36" t="n">
        <f>27635295486</f>
        <v>2.7635295486E10</v>
      </c>
    </row>
    <row r="15" spans="1:15" ht="24.9" customHeight="1">
      <c r="A15" s="38"/>
      <c r="B15" s="62"/>
      <c r="C15" s="24" t="s">
        <v>18</v>
      </c>
      <c r="D15" s="25" t="n">
        <f>33415</f>
        <v>33415.0</v>
      </c>
      <c r="E15" s="37" t="n">
        <f>15938</f>
        <v>15938.0</v>
      </c>
      <c r="F15" s="25" t="n">
        <f>18726</f>
        <v>18726.0</v>
      </c>
      <c r="G15" s="37" t="n">
        <f>10873</f>
        <v>10873.0</v>
      </c>
      <c r="H15" s="25" t="n">
        <f>52141</f>
        <v>52141.0</v>
      </c>
      <c r="I15" s="37" t="n">
        <f>26811</f>
        <v>26811.0</v>
      </c>
      <c r="J15" s="25" t="n">
        <f>11883779150</f>
        <v>1.188377915E10</v>
      </c>
      <c r="K15" s="37" t="n">
        <f>9724444150</f>
        <v>9.72444415E9</v>
      </c>
      <c r="L15" s="25" t="n">
        <f>23713159836</f>
        <v>2.3713159836E10</v>
      </c>
      <c r="M15" s="37" t="n">
        <f>21471950836</f>
        <v>2.1471950836E10</v>
      </c>
      <c r="N15" s="25" t="n">
        <f>35596938986</f>
        <v>3.5596938986E10</v>
      </c>
      <c r="O15" s="37" t="n">
        <f>31196394986</f>
        <v>3.1196394986E10</v>
      </c>
    </row>
    <row r="16" spans="1:15" ht="24.9" customHeight="1">
      <c r="A16" s="38"/>
      <c r="B16" s="61" t="s">
        <v>105</v>
      </c>
      <c r="C16" s="16" t="s">
        <v>15</v>
      </c>
      <c r="D16" s="17" t="n">
        <f>5945</f>
        <v>5945.0</v>
      </c>
      <c r="E16" s="35" t="n">
        <f>440</f>
        <v>440.0</v>
      </c>
      <c r="F16" s="17" t="n">
        <f>3813</f>
        <v>3813.0</v>
      </c>
      <c r="G16" s="35" t="n">
        <f>140</f>
        <v>140.0</v>
      </c>
      <c r="H16" s="17" t="n">
        <f>9758</f>
        <v>9758.0</v>
      </c>
      <c r="I16" s="35" t="n">
        <f>580</f>
        <v>580.0</v>
      </c>
      <c r="J16" s="17" t="n">
        <f>139609940</f>
        <v>1.3960994E8</v>
      </c>
      <c r="K16" s="35" t="n">
        <f>3321740</f>
        <v>3321740.0</v>
      </c>
      <c r="L16" s="17" t="n">
        <f>140084690</f>
        <v>1.4008469E8</v>
      </c>
      <c r="M16" s="35" t="n">
        <f>967090</f>
        <v>967090.0</v>
      </c>
      <c r="N16" s="17" t="n">
        <f>279694630</f>
        <v>2.7969463E8</v>
      </c>
      <c r="O16" s="35" t="n">
        <f>4288830</f>
        <v>4288830.0</v>
      </c>
    </row>
    <row r="17" spans="1:15" ht="24.9" customHeight="1">
      <c r="A17" s="38"/>
      <c r="B17" s="62"/>
      <c r="C17" s="20" t="s">
        <v>16</v>
      </c>
      <c r="D17" s="21" t="n">
        <f>4314</f>
        <v>4314.0</v>
      </c>
      <c r="E17" s="36" t="n">
        <f>70</f>
        <v>70.0</v>
      </c>
      <c r="F17" s="21" t="n">
        <f>2349</f>
        <v>2349.0</v>
      </c>
      <c r="G17" s="36" t="n">
        <f>40</f>
        <v>40.0</v>
      </c>
      <c r="H17" s="21" t="n">
        <f>6663</f>
        <v>6663.0</v>
      </c>
      <c r="I17" s="36" t="n">
        <f>110</f>
        <v>110.0</v>
      </c>
      <c r="J17" s="21" t="n">
        <f>84161880</f>
        <v>8.416188E7</v>
      </c>
      <c r="K17" s="36" t="n">
        <f>831780</f>
        <v>831780.0</v>
      </c>
      <c r="L17" s="21" t="n">
        <f>62144930</f>
        <v>6.214493E7</v>
      </c>
      <c r="M17" s="36" t="n">
        <f>443130</f>
        <v>443130.0</v>
      </c>
      <c r="N17" s="21" t="n">
        <f>146306810</f>
        <v>1.4630681E8</v>
      </c>
      <c r="O17" s="36" t="n">
        <f>1274910</f>
        <v>1274910.0</v>
      </c>
    </row>
    <row r="18" spans="1:15" ht="24.9" customHeight="1">
      <c r="A18" s="38"/>
      <c r="B18" s="62"/>
      <c r="C18" s="20" t="s">
        <v>17</v>
      </c>
      <c r="D18" s="21" t="n">
        <f>5125</f>
        <v>5125.0</v>
      </c>
      <c r="E18" s="36" t="n">
        <f>90</f>
        <v>90.0</v>
      </c>
      <c r="F18" s="21" t="n">
        <f>2786</f>
        <v>2786.0</v>
      </c>
      <c r="G18" s="36" t="n">
        <f>130</f>
        <v>130.0</v>
      </c>
      <c r="H18" s="21" t="n">
        <f>7911</f>
        <v>7911.0</v>
      </c>
      <c r="I18" s="36" t="n">
        <f>220</f>
        <v>220.0</v>
      </c>
      <c r="J18" s="21" t="n">
        <f>90059410</f>
        <v>9.005941E7</v>
      </c>
      <c r="K18" s="36" t="n">
        <f>758810</f>
        <v>758810.0</v>
      </c>
      <c r="L18" s="21" t="n">
        <f>86497020</f>
        <v>8.649702E7</v>
      </c>
      <c r="M18" s="36" t="n">
        <f>1948920</f>
        <v>1948920.0</v>
      </c>
      <c r="N18" s="21" t="n">
        <f>176556430</f>
        <v>1.7655643E8</v>
      </c>
      <c r="O18" s="36" t="n">
        <f>2707730</f>
        <v>2707730.0</v>
      </c>
    </row>
    <row r="19" spans="1:15" ht="24.9" customHeight="1">
      <c r="A19" s="38"/>
      <c r="B19" s="62"/>
      <c r="C19" s="24" t="s">
        <v>18</v>
      </c>
      <c r="D19" s="25" t="n">
        <f>15384</f>
        <v>15384.0</v>
      </c>
      <c r="E19" s="37" t="n">
        <f>600</f>
        <v>600.0</v>
      </c>
      <c r="F19" s="25" t="n">
        <f>8948</f>
        <v>8948.0</v>
      </c>
      <c r="G19" s="37" t="n">
        <f>310</f>
        <v>310.0</v>
      </c>
      <c r="H19" s="25" t="n">
        <f>24332</f>
        <v>24332.0</v>
      </c>
      <c r="I19" s="37" t="n">
        <f>910</f>
        <v>910.0</v>
      </c>
      <c r="J19" s="25" t="n">
        <f>313831230</f>
        <v>3.1383123E8</v>
      </c>
      <c r="K19" s="37" t="n">
        <f>4912330</f>
        <v>4912330.0</v>
      </c>
      <c r="L19" s="25" t="n">
        <f>288726640</f>
        <v>2.8872664E8</v>
      </c>
      <c r="M19" s="37" t="n">
        <f>3359140</f>
        <v>3359140.0</v>
      </c>
      <c r="N19" s="25" t="n">
        <f>602557870</f>
        <v>6.0255787E8</v>
      </c>
      <c r="O19" s="37" t="n">
        <f>8271470</f>
        <v>8271470.0</v>
      </c>
    </row>
    <row r="20" spans="1:15" ht="24.9" customHeight="1">
      <c r="A20" s="38"/>
      <c r="B20" s="61" t="s">
        <v>106</v>
      </c>
      <c r="C20" s="16" t="s">
        <v>15</v>
      </c>
      <c r="D20" s="17" t="n">
        <f>125</f>
        <v>125.0</v>
      </c>
      <c r="E20" s="35" t="n">
        <f>125</f>
        <v>125.0</v>
      </c>
      <c r="F20" s="17" t="n">
        <f>0</f>
        <v>0.0</v>
      </c>
      <c r="G20" s="35" t="n">
        <f>0</f>
        <v>0.0</v>
      </c>
      <c r="H20" s="17" t="n">
        <f>125</f>
        <v>125.0</v>
      </c>
      <c r="I20" s="35" t="n">
        <f>125</f>
        <v>125.0</v>
      </c>
      <c r="J20" s="17" t="n">
        <f>634375000</f>
        <v>6.34375E8</v>
      </c>
      <c r="K20" s="35" t="n">
        <f>634375000</f>
        <v>6.34375E8</v>
      </c>
      <c r="L20" s="17" t="n">
        <f>0</f>
        <v>0.0</v>
      </c>
      <c r="M20" s="35" t="n">
        <f>0</f>
        <v>0.0</v>
      </c>
      <c r="N20" s="17" t="n">
        <f>634375000</f>
        <v>6.34375E8</v>
      </c>
      <c r="O20" s="35" t="n">
        <f>634375000</f>
        <v>6.34375E8</v>
      </c>
    </row>
    <row r="21" spans="1:15" ht="24.9" customHeight="1">
      <c r="A21" s="38"/>
      <c r="B21" s="62"/>
      <c r="C21" s="20" t="s">
        <v>16</v>
      </c>
      <c r="D21" s="21" t="n">
        <f>940</f>
        <v>940.0</v>
      </c>
      <c r="E21" s="36" t="n">
        <f>940</f>
        <v>940.0</v>
      </c>
      <c r="F21" s="21" t="n">
        <f>0</f>
        <v>0.0</v>
      </c>
      <c r="G21" s="36" t="n">
        <f>0</f>
        <v>0.0</v>
      </c>
      <c r="H21" s="21" t="n">
        <f>940</f>
        <v>940.0</v>
      </c>
      <c r="I21" s="36" t="n">
        <f>940</f>
        <v>940.0</v>
      </c>
      <c r="J21" s="21" t="n">
        <f>956829000</f>
        <v>9.56829E8</v>
      </c>
      <c r="K21" s="36" t="n">
        <f>956829000</f>
        <v>9.56829E8</v>
      </c>
      <c r="L21" s="21" t="n">
        <f>0</f>
        <v>0.0</v>
      </c>
      <c r="M21" s="36" t="n">
        <f>0</f>
        <v>0.0</v>
      </c>
      <c r="N21" s="21" t="n">
        <f>956829000</f>
        <v>9.56829E8</v>
      </c>
      <c r="O21" s="36" t="n">
        <f>956829000</f>
        <v>9.56829E8</v>
      </c>
    </row>
    <row r="22" spans="1:15" ht="24.9" customHeight="1">
      <c r="A22" s="38"/>
      <c r="B22" s="62"/>
      <c r="C22" s="20" t="s">
        <v>17</v>
      </c>
      <c r="D22" s="21" t="n">
        <f>100</f>
        <v>100.0</v>
      </c>
      <c r="E22" s="36" t="n">
        <f>100</f>
        <v>100.0</v>
      </c>
      <c r="F22" s="21" t="n">
        <f>500</f>
        <v>500.0</v>
      </c>
      <c r="G22" s="36" t="n">
        <f>500</f>
        <v>500.0</v>
      </c>
      <c r="H22" s="21" t="n">
        <f>600</f>
        <v>600.0</v>
      </c>
      <c r="I22" s="36" t="n">
        <f>600</f>
        <v>600.0</v>
      </c>
      <c r="J22" s="21" t="n">
        <f>50000000</f>
        <v>5.0E7</v>
      </c>
      <c r="K22" s="36" t="n">
        <f>50000000</f>
        <v>5.0E7</v>
      </c>
      <c r="L22" s="21" t="n">
        <f>58700000</f>
        <v>5.87E7</v>
      </c>
      <c r="M22" s="36" t="n">
        <f>58700000</f>
        <v>5.87E7</v>
      </c>
      <c r="N22" s="21" t="n">
        <f>108700000</f>
        <v>1.087E8</v>
      </c>
      <c r="O22" s="36" t="n">
        <f>108700000</f>
        <v>1.087E8</v>
      </c>
    </row>
    <row r="23" spans="1:15" ht="24.9" customHeight="1">
      <c r="A23" s="38"/>
      <c r="B23" s="62"/>
      <c r="C23" s="24" t="s">
        <v>18</v>
      </c>
      <c r="D23" s="25" t="n">
        <f>1165</f>
        <v>1165.0</v>
      </c>
      <c r="E23" s="37" t="n">
        <f>1165</f>
        <v>1165.0</v>
      </c>
      <c r="F23" s="25" t="n">
        <f>500</f>
        <v>500.0</v>
      </c>
      <c r="G23" s="37" t="n">
        <f>500</f>
        <v>500.0</v>
      </c>
      <c r="H23" s="25" t="n">
        <f>1665</f>
        <v>1665.0</v>
      </c>
      <c r="I23" s="37" t="n">
        <f>1665</f>
        <v>1665.0</v>
      </c>
      <c r="J23" s="25" t="n">
        <f>1641204000</f>
        <v>1.641204E9</v>
      </c>
      <c r="K23" s="37" t="n">
        <f>1641204000</f>
        <v>1.641204E9</v>
      </c>
      <c r="L23" s="25" t="n">
        <f>58700000</f>
        <v>5.87E7</v>
      </c>
      <c r="M23" s="37" t="n">
        <f>58700000</f>
        <v>5.87E7</v>
      </c>
      <c r="N23" s="25" t="n">
        <f>1699904000</f>
        <v>1.699904E9</v>
      </c>
      <c r="O23" s="37" t="n">
        <f>1699904000</f>
        <v>1.699904E9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36</f>
        <v>36.0</v>
      </c>
      <c r="E36" s="18" t="n">
        <f>0</f>
        <v>0.0</v>
      </c>
      <c r="F36" s="17" t="n">
        <f>22</f>
        <v>22.0</v>
      </c>
      <c r="G36" s="18" t="n">
        <f>0</f>
        <v>0.0</v>
      </c>
      <c r="H36" s="17" t="n">
        <f>58</f>
        <v>58.0</v>
      </c>
      <c r="I36" s="18" t="n">
        <f>0</f>
        <v>0.0</v>
      </c>
      <c r="J36" s="17" t="n">
        <f>12040000</f>
        <v>1.204E7</v>
      </c>
      <c r="K36" s="18" t="n">
        <f>0</f>
        <v>0.0</v>
      </c>
      <c r="L36" s="17" t="n">
        <f>5380000</f>
        <v>5380000.0</v>
      </c>
      <c r="M36" s="18" t="n">
        <f>0</f>
        <v>0.0</v>
      </c>
      <c r="N36" s="17" t="n">
        <f>17420000</f>
        <v>1.742E7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10</f>
        <v>10.0</v>
      </c>
      <c r="E37" s="22" t="n">
        <f>0</f>
        <v>0.0</v>
      </c>
      <c r="F37" s="21" t="n">
        <f>12</f>
        <v>12.0</v>
      </c>
      <c r="G37" s="22" t="n">
        <f>0</f>
        <v>0.0</v>
      </c>
      <c r="H37" s="21" t="n">
        <f>22</f>
        <v>22.0</v>
      </c>
      <c r="I37" s="22" t="n">
        <f>0</f>
        <v>0.0</v>
      </c>
      <c r="J37" s="21" t="n">
        <f>2380000</f>
        <v>2380000.0</v>
      </c>
      <c r="K37" s="22" t="n">
        <f>0</f>
        <v>0.0</v>
      </c>
      <c r="L37" s="21" t="n">
        <f>3360000</f>
        <v>3360000.0</v>
      </c>
      <c r="M37" s="22" t="n">
        <f>0</f>
        <v>0.0</v>
      </c>
      <c r="N37" s="21" t="n">
        <f>5740000</f>
        <v>5740000.0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126</f>
        <v>126.0</v>
      </c>
      <c r="E38" s="36" t="n">
        <f>125</f>
        <v>125.0</v>
      </c>
      <c r="F38" s="21" t="n">
        <f>216</f>
        <v>216.0</v>
      </c>
      <c r="G38" s="36" t="n">
        <f>10</f>
        <v>10.0</v>
      </c>
      <c r="H38" s="21" t="n">
        <f>342</f>
        <v>342.0</v>
      </c>
      <c r="I38" s="36" t="n">
        <f>135</f>
        <v>135.0</v>
      </c>
      <c r="J38" s="21" t="n">
        <f>24780000</f>
        <v>2.478E7</v>
      </c>
      <c r="K38" s="36" t="n">
        <f>24500000</f>
        <v>2.45E7</v>
      </c>
      <c r="L38" s="21" t="n">
        <f>69680000</f>
        <v>6.968E7</v>
      </c>
      <c r="M38" s="36" t="n">
        <f>500000</f>
        <v>500000.0</v>
      </c>
      <c r="N38" s="21" t="n">
        <f>94460000</f>
        <v>9.446E7</v>
      </c>
      <c r="O38" s="36" t="n">
        <f>25000000</f>
        <v>2.5E7</v>
      </c>
    </row>
    <row r="39" spans="1:15" ht="24.9" customHeight="1">
      <c r="A39" s="38"/>
      <c r="B39" s="62"/>
      <c r="C39" s="24" t="s">
        <v>18</v>
      </c>
      <c r="D39" s="25" t="n">
        <f>172</f>
        <v>172.0</v>
      </c>
      <c r="E39" s="37" t="n">
        <f>125</f>
        <v>125.0</v>
      </c>
      <c r="F39" s="25" t="n">
        <f>250</f>
        <v>250.0</v>
      </c>
      <c r="G39" s="37" t="n">
        <f>10</f>
        <v>10.0</v>
      </c>
      <c r="H39" s="25" t="n">
        <f>422</f>
        <v>422.0</v>
      </c>
      <c r="I39" s="37" t="n">
        <f>135</f>
        <v>135.0</v>
      </c>
      <c r="J39" s="25" t="n">
        <f>39200000</f>
        <v>3.92E7</v>
      </c>
      <c r="K39" s="37" t="n">
        <f>24500000</f>
        <v>2.45E7</v>
      </c>
      <c r="L39" s="25" t="n">
        <f>78420000</f>
        <v>7.842E7</v>
      </c>
      <c r="M39" s="37" t="n">
        <f>500000</f>
        <v>500000.0</v>
      </c>
      <c r="N39" s="25" t="n">
        <f>117620000</f>
        <v>1.1762E8</v>
      </c>
      <c r="O39" s="37" t="n">
        <f>25000000</f>
        <v>2.5E7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1279</f>
        <v>1279.0</v>
      </c>
      <c r="E41" s="36" t="n">
        <f>0</f>
        <v>0.0</v>
      </c>
      <c r="F41" s="21" t="n">
        <f>11226</f>
        <v>11226.0</v>
      </c>
      <c r="G41" s="36" t="n">
        <f>0</f>
        <v>0.0</v>
      </c>
      <c r="H41" s="21" t="n">
        <f>12505</f>
        <v>12505.0</v>
      </c>
      <c r="I41" s="36" t="n">
        <f>0</f>
        <v>0.0</v>
      </c>
      <c r="J41" s="21" t="n">
        <f>5984400</f>
        <v>5984400.0</v>
      </c>
      <c r="K41" s="36" t="n">
        <f>0</f>
        <v>0.0</v>
      </c>
      <c r="L41" s="21" t="n">
        <f>20650240</f>
        <v>2.065024E7</v>
      </c>
      <c r="M41" s="36" t="n">
        <f>0</f>
        <v>0.0</v>
      </c>
      <c r="N41" s="21" t="n">
        <f>26634640</f>
        <v>2.663464E7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13946</f>
        <v>13946.0</v>
      </c>
      <c r="E42" s="36" t="n">
        <f>3015</f>
        <v>3015.0</v>
      </c>
      <c r="F42" s="21" t="n">
        <f>12392</f>
        <v>12392.0</v>
      </c>
      <c r="G42" s="36" t="n">
        <f>2715</f>
        <v>2715.0</v>
      </c>
      <c r="H42" s="21" t="n">
        <f>26338</f>
        <v>26338.0</v>
      </c>
      <c r="I42" s="36" t="n">
        <f>5730</f>
        <v>5730.0</v>
      </c>
      <c r="J42" s="21" t="n">
        <f>100663360</f>
        <v>1.0066336E8</v>
      </c>
      <c r="K42" s="36" t="n">
        <f>82492500</f>
        <v>8.24925E7</v>
      </c>
      <c r="L42" s="21" t="n">
        <f>78984070</f>
        <v>7.898407E7</v>
      </c>
      <c r="M42" s="36" t="n">
        <f>52335000</f>
        <v>5.2335E7</v>
      </c>
      <c r="N42" s="21" t="n">
        <f>179647430</f>
        <v>1.7964743E8</v>
      </c>
      <c r="O42" s="36" t="n">
        <f>134827500</f>
        <v>1.348275E8</v>
      </c>
    </row>
    <row r="43" spans="1:15" ht="24.9" customHeight="1">
      <c r="A43" s="38"/>
      <c r="B43" s="62"/>
      <c r="C43" s="24" t="s">
        <v>18</v>
      </c>
      <c r="D43" s="25" t="n">
        <f>15225</f>
        <v>15225.0</v>
      </c>
      <c r="E43" s="37" t="n">
        <f>3015</f>
        <v>3015.0</v>
      </c>
      <c r="F43" s="25" t="n">
        <f>23618</f>
        <v>23618.0</v>
      </c>
      <c r="G43" s="37" t="n">
        <f>2715</f>
        <v>2715.0</v>
      </c>
      <c r="H43" s="25" t="n">
        <f>38843</f>
        <v>38843.0</v>
      </c>
      <c r="I43" s="37" t="n">
        <f>5730</f>
        <v>5730.0</v>
      </c>
      <c r="J43" s="25" t="n">
        <f>106647760</f>
        <v>1.0664776E8</v>
      </c>
      <c r="K43" s="37" t="n">
        <f>82492500</f>
        <v>8.24925E7</v>
      </c>
      <c r="L43" s="25" t="n">
        <f>99634310</f>
        <v>9.963431E7</v>
      </c>
      <c r="M43" s="37" t="n">
        <f>52335000</f>
        <v>5.2335E7</v>
      </c>
      <c r="N43" s="25" t="n">
        <f>206282070</f>
        <v>2.0628207E8</v>
      </c>
      <c r="O43" s="37" t="n">
        <f>134827500</f>
        <v>1.348275E8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