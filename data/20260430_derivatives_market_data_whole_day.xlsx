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<sst xmlns="http://schemas.openxmlformats.org/spreadsheetml/2006/main" count="528" uniqueCount="129">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</sst>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DATE(2026,04,30)</f>
        <v>46142.0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DATE(2026,04,30)</f>
        <v>46142.0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1716200.0</f>
        <v>1716200.0</v>
      </c>
      <c r="E12" s="18" t="n">
        <f>89571.0</f>
        <v>89571.0</v>
      </c>
      <c r="F12" s="19" t="n">
        <f>1.0</f>
        <v>1.0</v>
      </c>
      <c r="G12" s="17" t="n">
        <f>8591694404091.0</f>
        <v>8.591694404091E12</v>
      </c>
      <c r="H12" s="18" t="n">
        <f>640318999791.0</f>
        <v>6.40318999791E11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422612.0</f>
        <v>422612.0</v>
      </c>
      <c r="E13" s="22" t="n">
        <f>24439.0</f>
        <v>24439.0</v>
      </c>
      <c r="F13" s="23" t="n">
        <f>1.0</f>
        <v>1.0</v>
      </c>
      <c r="G13" s="21" t="n">
        <f>5477861964440.0</f>
        <v>5.47786196444E12</v>
      </c>
      <c r="H13" s="22" t="n">
        <f>339116791590.0</f>
        <v>3.3911679159E11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540652.0</f>
        <v>540652.0</v>
      </c>
      <c r="E14" s="22" t="n">
        <f>39169.0</f>
        <v>39169.0</v>
      </c>
      <c r="F14" s="23" t="n">
        <f>1.0</f>
        <v>1.0</v>
      </c>
      <c r="G14" s="21" t="n">
        <f>7019409415264.0</f>
        <v>7.019409415264E12</v>
      </c>
      <c r="H14" s="22" t="n">
        <f>1149145547339.0</f>
        <v>1.149145547339E12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2679464.0</f>
        <v>2679464.0</v>
      </c>
      <c r="E15" s="26" t="n">
        <f>153179.0</f>
        <v>153179.0</v>
      </c>
      <c r="F15" s="27" t="n">
        <f>1.0</f>
        <v>1.0</v>
      </c>
      <c r="G15" s="25" t="n">
        <f>21088965783795.0</f>
        <v>2.1088965783795E13</v>
      </c>
      <c r="H15" s="26" t="n">
        <f>2128581338720.0</f>
        <v>2.12858133872E12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9230.0</f>
        <v>9230.0</v>
      </c>
      <c r="E16" s="18" t="n">
        <f>1.0</f>
        <v>1.0</v>
      </c>
      <c r="F16" s="19" t="n">
        <f>0.005</f>
        <v>0.005</v>
      </c>
      <c r="G16" s="17" t="n">
        <f>1193803730000.0</f>
        <v>1.19380373E12</v>
      </c>
      <c r="H16" s="18" t="n">
        <f>129640000.0</f>
        <v>1.2964E8</v>
      </c>
      <c r="I16" s="19" t="n">
        <f>0.139</f>
        <v>0.139</v>
      </c>
    </row>
    <row r="17" spans="1:9" ht="24.9" customHeight="1">
      <c r="A17" s="41"/>
      <c r="B17" s="39"/>
      <c r="C17" s="20" t="s">
        <v>16</v>
      </c>
      <c r="D17" s="21" t="n">
        <f>22086.0</f>
        <v>22086.0</v>
      </c>
      <c r="E17" s="22" t="n">
        <f>1012.0</f>
        <v>1012.0</v>
      </c>
      <c r="F17" s="23" t="n">
        <f>0.052</f>
        <v>0.052</v>
      </c>
      <c r="G17" s="21" t="n">
        <f>2817107913000.0</f>
        <v>2.817107913E12</v>
      </c>
      <c r="H17" s="22" t="n">
        <f>130827505000.0</f>
        <v>1.30827505E11</v>
      </c>
      <c r="I17" s="23" t="n">
        <f>0.514</f>
        <v>0.514</v>
      </c>
    </row>
    <row r="18" spans="1:9" ht="24.9" customHeight="1">
      <c r="A18" s="41"/>
      <c r="B18" s="39"/>
      <c r="C18" s="20" t="s">
        <v>17</v>
      </c>
      <c r="D18" s="21" t="n">
        <f>18960.0</f>
        <v>18960.0</v>
      </c>
      <c r="E18" s="22" t="n">
        <f>1806.0</f>
        <v>1806.0</v>
      </c>
      <c r="F18" s="23" t="n">
        <f>0.035</f>
        <v>0.035</v>
      </c>
      <c r="G18" s="21" t="n">
        <f>2422370145625.0</f>
        <v>2.422370145625E12</v>
      </c>
      <c r="H18" s="22" t="n">
        <f>207943440000.0</f>
        <v>2.0794344E11</v>
      </c>
      <c r="I18" s="23" t="n">
        <f>0.345</f>
        <v>0.345</v>
      </c>
    </row>
    <row r="19" spans="1:9" ht="24.9" customHeight="1">
      <c r="A19" s="41"/>
      <c r="B19" s="39"/>
      <c r="C19" s="24" t="s">
        <v>18</v>
      </c>
      <c r="D19" s="25" t="n">
        <f>50276.0</f>
        <v>50276.0</v>
      </c>
      <c r="E19" s="26" t="n">
        <f>2819.0</f>
        <v>2819.0</v>
      </c>
      <c r="F19" s="27" t="n">
        <f>0.019</f>
        <v>0.019</v>
      </c>
      <c r="G19" s="25" t="n">
        <f>6433281788625.0</f>
        <v>6.433281788625E12</v>
      </c>
      <c r="H19" s="26" t="n">
        <f>338900585000.0</f>
        <v>3.38900585E11</v>
      </c>
      <c r="I19" s="27" t="n">
        <f>0.305</f>
        <v>0.305</v>
      </c>
    </row>
    <row r="20" spans="1:9" ht="24.9" customHeight="1">
      <c r="A20" s="41"/>
      <c r="B20" s="39" t="s">
        <v>21</v>
      </c>
      <c r="C20" s="16" t="s">
        <v>15</v>
      </c>
      <c r="D20" s="17" t="n">
        <f>1671244.0</f>
        <v>1671244.0</v>
      </c>
      <c r="E20" s="18" t="n">
        <f>89570.0</f>
        <v>89570.0</v>
      </c>
      <c r="F20" s="19" t="n">
        <f>0.974</f>
        <v>0.974</v>
      </c>
      <c r="G20" s="17" t="n">
        <f>6961367009091.0</f>
        <v>6.961367009091E12</v>
      </c>
      <c r="H20" s="18" t="n">
        <f>640189359791.0</f>
        <v>6.40189359791E11</v>
      </c>
      <c r="I20" s="19" t="n">
        <f>0.81</f>
        <v>0.81</v>
      </c>
    </row>
    <row r="21" spans="1:9" ht="24.9" customHeight="1">
      <c r="A21" s="41"/>
      <c r="B21" s="39"/>
      <c r="C21" s="20" t="s">
        <v>16</v>
      </c>
      <c r="D21" s="21" t="n">
        <f>392982.0</f>
        <v>392982.0</v>
      </c>
      <c r="E21" s="22" t="n">
        <f>23414.0</f>
        <v>23414.0</v>
      </c>
      <c r="F21" s="23" t="n">
        <f>0.93</f>
        <v>0.93</v>
      </c>
      <c r="G21" s="21" t="n">
        <f>2578072733140.0</f>
        <v>2.57807273314E12</v>
      </c>
      <c r="H21" s="22" t="n">
        <f>208263336390.0</f>
        <v>2.0826333639E11</v>
      </c>
      <c r="I21" s="23" t="n">
        <f>0.471</f>
        <v>0.471</v>
      </c>
    </row>
    <row r="22" spans="1:9" ht="24.9" customHeight="1">
      <c r="A22" s="41"/>
      <c r="B22" s="39"/>
      <c r="C22" s="20" t="s">
        <v>17</v>
      </c>
      <c r="D22" s="21" t="n">
        <f>510071.0</f>
        <v>510071.0</v>
      </c>
      <c r="E22" s="22" t="n">
        <f>37157.0</f>
        <v>37157.0</v>
      </c>
      <c r="F22" s="23" t="n">
        <f>0.943</f>
        <v>0.943</v>
      </c>
      <c r="G22" s="21" t="n">
        <f>4512078563589.0</f>
        <v>4.512078563589E12</v>
      </c>
      <c r="H22" s="22" t="n">
        <f>940189957339.0</f>
        <v>9.40189957339E11</v>
      </c>
      <c r="I22" s="23" t="n">
        <f>0.643</f>
        <v>0.643</v>
      </c>
    </row>
    <row r="23" spans="1:9" ht="24.9" customHeight="1">
      <c r="A23" s="41"/>
      <c r="B23" s="39"/>
      <c r="C23" s="24" t="s">
        <v>18</v>
      </c>
      <c r="D23" s="25" t="n">
        <f>2574297.0</f>
        <v>2574297.0</v>
      </c>
      <c r="E23" s="26" t="n">
        <f>150141.0</f>
        <v>150141.0</v>
      </c>
      <c r="F23" s="27" t="n">
        <f>0.961</f>
        <v>0.961</v>
      </c>
      <c r="G23" s="25" t="n">
        <f>14051518305820.0</f>
        <v>1.405151830582E13</v>
      </c>
      <c r="H23" s="26" t="n">
        <f>1788642653520.0</f>
        <v>1.78864265352E12</v>
      </c>
      <c r="I23" s="27" t="n">
        <f>0.666</f>
        <v>0.666</v>
      </c>
    </row>
    <row r="24" spans="1:9" ht="24.9" customHeight="1">
      <c r="A24" s="41"/>
      <c r="B24" s="39" t="s">
        <v>22</v>
      </c>
      <c r="C24" s="16" t="s">
        <v>15</v>
      </c>
      <c r="D24" s="17" t="n">
        <f>34985.0</f>
        <v>34985.0</v>
      </c>
      <c r="E24" s="18" t="n">
        <f>0.0</f>
        <v>0.0</v>
      </c>
      <c r="F24" s="19" t="n">
        <f>0.02</f>
        <v>0.02</v>
      </c>
      <c r="G24" s="17" t="n">
        <f>433205842500.0</f>
        <v>4.332058425E11</v>
      </c>
      <c r="H24" s="18" t="n">
        <f>0.0</f>
        <v>0.0</v>
      </c>
      <c r="I24" s="19" t="n">
        <f>0.05</f>
        <v>0.05</v>
      </c>
    </row>
    <row r="25" spans="1:9" ht="24.9" customHeight="1">
      <c r="A25" s="41"/>
      <c r="B25" s="39"/>
      <c r="C25" s="20" t="s">
        <v>16</v>
      </c>
      <c r="D25" s="21" t="n">
        <f>7274.0</f>
        <v>7274.0</v>
      </c>
      <c r="E25" s="22" t="n">
        <f>13.0</f>
        <v>13.0</v>
      </c>
      <c r="F25" s="23" t="n">
        <f>0.017</f>
        <v>0.017</v>
      </c>
      <c r="G25" s="21" t="n">
        <f>81475762300.0</f>
        <v>8.14757623E10</v>
      </c>
      <c r="H25" s="22" t="n">
        <f>25950200.0</f>
        <v>2.59502E7</v>
      </c>
      <c r="I25" s="23" t="n">
        <f>0.015</f>
        <v>0.015</v>
      </c>
    </row>
    <row r="26" spans="1:9" ht="24.9" customHeight="1">
      <c r="A26" s="41"/>
      <c r="B26" s="39"/>
      <c r="C26" s="20" t="s">
        <v>17</v>
      </c>
      <c r="D26" s="21" t="n">
        <f>9549.0</f>
        <v>9549.0</v>
      </c>
      <c r="E26" s="22" t="n">
        <f>0.0</f>
        <v>0.0</v>
      </c>
      <c r="F26" s="23" t="n">
        <f>0.018</f>
        <v>0.018</v>
      </c>
      <c r="G26" s="21" t="n">
        <f>75397355050.0</f>
        <v>7.539735505E10</v>
      </c>
      <c r="H26" s="22" t="n">
        <f>0.0</f>
        <v>0.0</v>
      </c>
      <c r="I26" s="23" t="n">
        <f>0.011</f>
        <v>0.011</v>
      </c>
    </row>
    <row r="27" spans="1:9" ht="24.9" customHeight="1">
      <c r="A27" s="42"/>
      <c r="B27" s="39"/>
      <c r="C27" s="24" t="s">
        <v>18</v>
      </c>
      <c r="D27" s="25" t="n">
        <f>51808.0</f>
        <v>51808.0</v>
      </c>
      <c r="E27" s="26" t="n">
        <f>13.0</f>
        <v>13.0</v>
      </c>
      <c r="F27" s="27" t="n">
        <f>0.019</f>
        <v>0.019</v>
      </c>
      <c r="G27" s="25" t="n">
        <f>590078959850.0</f>
        <v>5.9007895985E11</v>
      </c>
      <c r="H27" s="26" t="n">
        <f>25950200.0</f>
        <v>2.59502E7</v>
      </c>
      <c r="I27" s="27" t="n">
        <f>0.028</f>
        <v>0.028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741.0</f>
        <v>741.0</v>
      </c>
      <c r="E28" s="18" t="n">
        <f>0.0</f>
        <v>0.0</v>
      </c>
      <c r="F28" s="19" t="n">
        <f>0.0</f>
        <v>0.0</v>
      </c>
      <c r="G28" s="17" t="n">
        <f>3317822500.0</f>
        <v>3.3178225E9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270.0</f>
        <v>270.0</v>
      </c>
      <c r="E29" s="22" t="n">
        <f>0.0</f>
        <v>0.0</v>
      </c>
      <c r="F29" s="23" t="n">
        <f>0.001</f>
        <v>0.001</v>
      </c>
      <c r="G29" s="21" t="n">
        <f>1205556000.0</f>
        <v>1.205556E9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2072.0</f>
        <v>2072.0</v>
      </c>
      <c r="E30" s="22" t="n">
        <f>206.0</f>
        <v>206.0</v>
      </c>
      <c r="F30" s="23" t="n">
        <f>0.004</f>
        <v>0.004</v>
      </c>
      <c r="G30" s="21" t="n">
        <f>9563351000.0</f>
        <v>9.563351E9</v>
      </c>
      <c r="H30" s="22" t="n">
        <f>1012150000.0</f>
        <v>1.01215E9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3083.0</f>
        <v>3083.0</v>
      </c>
      <c r="E31" s="26" t="n">
        <f>206.0</f>
        <v>206.0</v>
      </c>
      <c r="F31" s="27" t="n">
        <f>0.001</f>
        <v>0.001</v>
      </c>
      <c r="G31" s="25" t="n">
        <f>14086729500.0</f>
        <v>1.40867295E10</v>
      </c>
      <c r="H31" s="26" t="n">
        <f>1012150000.0</f>
        <v>1.01215E9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46142.0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46142.0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62314</f>
        <v>62314.0</v>
      </c>
      <c r="E11" s="18" t="n">
        <f>11816</f>
        <v>11816.0</v>
      </c>
      <c r="F11" s="19" t="n">
        <f>1</f>
        <v>1.0</v>
      </c>
      <c r="G11" s="17" t="n">
        <f>6420826790</f>
        <v>6.42082679E9</v>
      </c>
      <c r="H11" s="18" t="n">
        <f>3446559690</f>
        <v>3.44655969E9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43376</f>
        <v>43376.0</v>
      </c>
      <c r="E12" s="22" t="n">
        <f>10023</f>
        <v>10023.0</v>
      </c>
      <c r="F12" s="23" t="n">
        <f>1</f>
        <v>1.0</v>
      </c>
      <c r="G12" s="21" t="n">
        <f>8015146738</f>
        <v>8.015146738E9</v>
      </c>
      <c r="H12" s="22" t="n">
        <f>6591271090</f>
        <v>6.59127109E9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56089</f>
        <v>56089.0</v>
      </c>
      <c r="E13" s="22" t="n">
        <f>19233</f>
        <v>19233.0</v>
      </c>
      <c r="F13" s="23" t="n">
        <f>1</f>
        <v>1.0</v>
      </c>
      <c r="G13" s="21" t="n">
        <f>21753411372</f>
        <v>2.1753411372E10</v>
      </c>
      <c r="H13" s="22" t="n">
        <f>18968673946</f>
        <v>1.8968673946E10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161779</f>
        <v>161779.0</v>
      </c>
      <c r="E14" s="26" t="n">
        <f>41072</f>
        <v>41072.0</v>
      </c>
      <c r="F14" s="27" t="n">
        <f>1</f>
        <v>1.0</v>
      </c>
      <c r="G14" s="25" t="n">
        <f>36189384900</f>
        <v>3.61893849E10</v>
      </c>
      <c r="H14" s="26" t="n">
        <f>29006504726</f>
        <v>2.9006504726E10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6</f>
        <v>6.0</v>
      </c>
      <c r="E15" s="18" t="n">
        <f>0</f>
        <v>0.0</v>
      </c>
      <c r="F15" s="19" t="n">
        <f>0</f>
        <v>0.0</v>
      </c>
      <c r="G15" s="17" t="n">
        <f>870000</f>
        <v>870000.0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449</f>
        <v>449.0</v>
      </c>
      <c r="E16" s="22" t="n">
        <f>303</f>
        <v>303.0</v>
      </c>
      <c r="F16" s="23" t="n">
        <f>0.01</f>
        <v>0.01</v>
      </c>
      <c r="G16" s="21" t="n">
        <f>62300000</f>
        <v>6.23E7</v>
      </c>
      <c r="H16" s="22" t="n">
        <f>3030000</f>
        <v>3030000.0</v>
      </c>
      <c r="I16" s="23" t="n">
        <f>0.008</f>
        <v>0.008</v>
      </c>
    </row>
    <row r="17" spans="1:9" ht="24.9" customHeight="1">
      <c r="A17" s="41"/>
      <c r="B17" s="39"/>
      <c r="C17" s="20" t="s">
        <v>17</v>
      </c>
      <c r="D17" s="21" t="n">
        <f>259</f>
        <v>259.0</v>
      </c>
      <c r="E17" s="22" t="n">
        <f>35</f>
        <v>35.0</v>
      </c>
      <c r="F17" s="23" t="n">
        <f>0.005</f>
        <v>0.005</v>
      </c>
      <c r="G17" s="21" t="n">
        <f>47270000</f>
        <v>4.727E7</v>
      </c>
      <c r="H17" s="22" t="n">
        <f>3450000</f>
        <v>3450000.0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714</f>
        <v>714.0</v>
      </c>
      <c r="E18" s="26" t="n">
        <f>338</f>
        <v>338.0</v>
      </c>
      <c r="F18" s="27" t="n">
        <f>0.004</f>
        <v>0.004</v>
      </c>
      <c r="G18" s="25" t="n">
        <f>110440000</f>
        <v>1.1044E8</v>
      </c>
      <c r="H18" s="26" t="n">
        <f>6480000</f>
        <v>6480000.0</v>
      </c>
      <c r="I18" s="27" t="n">
        <f>0.003</f>
        <v>0.003</v>
      </c>
    </row>
    <row r="19" spans="1:9" ht="24.9" customHeight="1">
      <c r="A19" s="41"/>
      <c r="B19" s="39" t="s">
        <v>31</v>
      </c>
      <c r="C19" s="16" t="s">
        <v>15</v>
      </c>
      <c r="D19" s="17" t="n">
        <f>62308</f>
        <v>62308.0</v>
      </c>
      <c r="E19" s="18" t="n">
        <f>11816</f>
        <v>11816.0</v>
      </c>
      <c r="F19" s="19" t="n">
        <f>1</f>
        <v>1.0</v>
      </c>
      <c r="G19" s="17" t="n">
        <f>6419956790</f>
        <v>6.41995679E9</v>
      </c>
      <c r="H19" s="18" t="n">
        <f>3446559690</f>
        <v>3.44655969E9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29261</f>
        <v>29261.0</v>
      </c>
      <c r="E20" s="22" t="n">
        <f>9720</f>
        <v>9720.0</v>
      </c>
      <c r="F20" s="23" t="n">
        <f>0.675</f>
        <v>0.675</v>
      </c>
      <c r="G20" s="21" t="n">
        <f>7914093090</f>
        <v>7.91409309E9</v>
      </c>
      <c r="H20" s="22" t="n">
        <f>6588241090</f>
        <v>6.58824109E9</v>
      </c>
      <c r="I20" s="23" t="n">
        <f>0.987</f>
        <v>0.987</v>
      </c>
    </row>
    <row r="21" spans="1:9" ht="24.9" customHeight="1">
      <c r="A21" s="41"/>
      <c r="B21" s="39"/>
      <c r="C21" s="20" t="s">
        <v>17</v>
      </c>
      <c r="D21" s="21" t="n">
        <f>49012</f>
        <v>49012.0</v>
      </c>
      <c r="E21" s="22" t="n">
        <f>17548</f>
        <v>17548.0</v>
      </c>
      <c r="F21" s="23" t="n">
        <f>0.874</f>
        <v>0.874</v>
      </c>
      <c r="G21" s="21" t="n">
        <f>21629989646</f>
        <v>2.1629989646E10</v>
      </c>
      <c r="H21" s="22" t="n">
        <f>18911956946</f>
        <v>1.8911956946E10</v>
      </c>
      <c r="I21" s="23" t="n">
        <f>0.994</f>
        <v>0.994</v>
      </c>
    </row>
    <row r="22" spans="1:9" ht="24.9" customHeight="1">
      <c r="A22" s="41"/>
      <c r="B22" s="39"/>
      <c r="C22" s="24" t="s">
        <v>18</v>
      </c>
      <c r="D22" s="25" t="n">
        <f>140581</f>
        <v>140581.0</v>
      </c>
      <c r="E22" s="26" t="n">
        <f>39084</f>
        <v>39084.0</v>
      </c>
      <c r="F22" s="27" t="n">
        <f>0.869</f>
        <v>0.869</v>
      </c>
      <c r="G22" s="25" t="n">
        <f>35964039526</f>
        <v>3.5964039526E10</v>
      </c>
      <c r="H22" s="26" t="n">
        <f>28946757726</f>
        <v>2.8946757726E10</v>
      </c>
      <c r="I22" s="27" t="n">
        <f>0.994</f>
        <v>0.994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13666</f>
        <v>13666.0</v>
      </c>
      <c r="E24" s="22" t="n">
        <f>0</f>
        <v>0.0</v>
      </c>
      <c r="F24" s="23" t="n">
        <f>0.315</f>
        <v>0.315</v>
      </c>
      <c r="G24" s="21" t="n">
        <f>38753648</f>
        <v>3.8753648E7</v>
      </c>
      <c r="H24" s="22" t="n">
        <f>0</f>
        <v>0.0</v>
      </c>
      <c r="I24" s="23" t="n">
        <f>0.005</f>
        <v>0.005</v>
      </c>
    </row>
    <row r="25" spans="1:9" ht="24.9" customHeight="1">
      <c r="A25" s="41"/>
      <c r="B25" s="39"/>
      <c r="C25" s="20" t="s">
        <v>17</v>
      </c>
      <c r="D25" s="21" t="n">
        <f>6818</f>
        <v>6818.0</v>
      </c>
      <c r="E25" s="22" t="n">
        <f>1650</f>
        <v>1650.0</v>
      </c>
      <c r="F25" s="23" t="n">
        <f>0.122</f>
        <v>0.122</v>
      </c>
      <c r="G25" s="21" t="n">
        <f>76151726</f>
        <v>7.6151726E7</v>
      </c>
      <c r="H25" s="22" t="n">
        <f>53267000</f>
        <v>5.3267E7</v>
      </c>
      <c r="I25" s="23" t="n">
        <f>0.004</f>
        <v>0.004</v>
      </c>
    </row>
    <row r="26" spans="1:9" ht="24.9" customHeight="1">
      <c r="A26" s="41"/>
      <c r="B26" s="39"/>
      <c r="C26" s="24" t="s">
        <v>18</v>
      </c>
      <c r="D26" s="25" t="n">
        <f>20484</f>
        <v>20484.0</v>
      </c>
      <c r="E26" s="26" t="n">
        <f>1650</f>
        <v>1650.0</v>
      </c>
      <c r="F26" s="27" t="n">
        <f>0.127</f>
        <v>0.127</v>
      </c>
      <c r="G26" s="25" t="n">
        <f>114905374</f>
        <v>1.14905374E8</v>
      </c>
      <c r="H26" s="26" t="n">
        <f>53267000</f>
        <v>5.3267E7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46142.0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46142.0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26402.0</v>
      </c>
      <c r="F12" s="18" t="n">
        <f>2032</f>
        <v>2032.0</v>
      </c>
      <c r="G12" s="17" t="n">
        <v>1.56420629086E12</v>
      </c>
      <c r="H12" s="18" t="n">
        <f>120601814860</f>
        <v>1.2060181486E11</v>
      </c>
    </row>
    <row r="13" spans="1:8" ht="24.9" customHeight="1">
      <c r="A13" s="51"/>
      <c r="B13" s="57"/>
      <c r="C13" s="39"/>
      <c r="D13" s="20" t="s">
        <v>16</v>
      </c>
      <c r="E13" s="21" t="n">
        <v>11164.0</v>
      </c>
      <c r="F13" s="22" t="n">
        <f>1221</f>
        <v>1221.0</v>
      </c>
      <c r="G13" s="21" t="n">
        <v>6.624165063E11</v>
      </c>
      <c r="H13" s="22" t="n">
        <f>72558966300</f>
        <v>7.25589663E10</v>
      </c>
    </row>
    <row r="14" spans="1:8" ht="24.9" customHeight="1">
      <c r="A14" s="51"/>
      <c r="B14" s="57"/>
      <c r="C14" s="39"/>
      <c r="D14" s="20" t="s">
        <v>17</v>
      </c>
      <c r="E14" s="21" t="n">
        <v>21716.0</v>
      </c>
      <c r="F14" s="22" t="n">
        <f>5523</f>
        <v>5523.0</v>
      </c>
      <c r="G14" s="21" t="n">
        <v>1.287310824934E12</v>
      </c>
      <c r="H14" s="22" t="n">
        <f>327480471934</f>
        <v>3.27480471934E11</v>
      </c>
    </row>
    <row r="15" spans="1:8" ht="24.9" customHeight="1">
      <c r="A15" s="51"/>
      <c r="B15" s="57"/>
      <c r="C15" s="39"/>
      <c r="D15" s="24" t="s">
        <v>18</v>
      </c>
      <c r="E15" s="25" t="n">
        <v>59282.0</v>
      </c>
      <c r="F15" s="26" t="n">
        <f>8776</f>
        <v>8776.0</v>
      </c>
      <c r="G15" s="25" t="n">
        <v>3.513933622094E12</v>
      </c>
      <c r="H15" s="26" t="n">
        <f>520641253094</f>
        <v>5.20641253094E11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613874.0</v>
      </c>
      <c r="F16" s="18" t="n">
        <f>86648</f>
        <v>86648.0</v>
      </c>
      <c r="G16" s="17" t="n">
        <v>3.637715378041E12</v>
      </c>
      <c r="H16" s="18" t="n">
        <f>513606460041</f>
        <v>5.13606460041E11</v>
      </c>
    </row>
    <row r="17" spans="1:8" ht="24.9" customHeight="1">
      <c r="A17" s="51"/>
      <c r="B17" s="57"/>
      <c r="C17" s="39"/>
      <c r="D17" s="20" t="s">
        <v>16</v>
      </c>
      <c r="E17" s="21" t="n">
        <v>162948.0</v>
      </c>
      <c r="F17" s="22" t="n">
        <f>21547</f>
        <v>21547.0</v>
      </c>
      <c r="G17" s="21" t="n">
        <v>9.6646184101E11</v>
      </c>
      <c r="H17" s="22" t="n">
        <f>127832333510</f>
        <v>1.2783233351E11</v>
      </c>
    </row>
    <row r="18" spans="1:8" ht="24.9" customHeight="1">
      <c r="A18" s="51"/>
      <c r="B18" s="57"/>
      <c r="C18" s="39"/>
      <c r="D18" s="20" t="s">
        <v>17</v>
      </c>
      <c r="E18" s="21" t="n">
        <v>202182.0</v>
      </c>
      <c r="F18" s="22" t="n">
        <f>17472</f>
        <v>17472.0</v>
      </c>
      <c r="G18" s="21" t="n">
        <v>1.19802353015E12</v>
      </c>
      <c r="H18" s="22" t="n">
        <f>103537178450</f>
        <v>1.0353717845E11</v>
      </c>
    </row>
    <row r="19" spans="1:8" ht="24.9" customHeight="1">
      <c r="A19" s="51"/>
      <c r="B19" s="57"/>
      <c r="C19" s="39"/>
      <c r="D19" s="24" t="s">
        <v>18</v>
      </c>
      <c r="E19" s="25" t="n">
        <v>979004.0</v>
      </c>
      <c r="F19" s="26" t="n">
        <f>125667</f>
        <v>125667.0</v>
      </c>
      <c r="G19" s="25" t="n">
        <v>5.802200749201E12</v>
      </c>
      <c r="H19" s="26" t="n">
        <f>744975972001</f>
        <v>7.44975972001E11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983412.0</v>
      </c>
      <c r="F20" s="18" t="str">
        <f>"－"</f>
        <v>－</v>
      </c>
      <c r="G20" s="17" t="n">
        <v>5.82639546E11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187403.0</v>
      </c>
      <c r="F21" s="22" t="str">
        <f>"－"</f>
        <v>－</v>
      </c>
      <c r="G21" s="21" t="n">
        <v>1.1116144095E11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224112.0</v>
      </c>
      <c r="F22" s="22" t="str">
        <f>"－"</f>
        <v>－</v>
      </c>
      <c r="G22" s="21" t="n">
        <v>1.3279485E11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1394927.0</v>
      </c>
      <c r="F23" s="26" t="str">
        <f>"－"</f>
        <v>－</v>
      </c>
      <c r="G23" s="25" t="n">
        <v>8.2659583695E11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30010.0</v>
      </c>
      <c r="F24" s="18" t="n">
        <f>83</f>
        <v>83.0</v>
      </c>
      <c r="G24" s="17" t="n">
        <v>1.12270746654E12</v>
      </c>
      <c r="H24" s="18" t="n">
        <f>3115546540</f>
        <v>3.11554654E9</v>
      </c>
    </row>
    <row r="25" spans="1:8" ht="24.9" customHeight="1">
      <c r="A25" s="51"/>
      <c r="B25" s="57"/>
      <c r="C25" s="39"/>
      <c r="D25" s="20" t="s">
        <v>16</v>
      </c>
      <c r="E25" s="21" t="n">
        <v>21636.0</v>
      </c>
      <c r="F25" s="22" t="n">
        <f>149</f>
        <v>149.0</v>
      </c>
      <c r="G25" s="21" t="n">
        <v>8.05205041E11</v>
      </c>
      <c r="H25" s="22" t="n">
        <f>5557648000</f>
        <v>5.557648E9</v>
      </c>
    </row>
    <row r="26" spans="1:8" ht="24.9" customHeight="1">
      <c r="A26" s="51"/>
      <c r="B26" s="57"/>
      <c r="C26" s="39"/>
      <c r="D26" s="20" t="s">
        <v>17</v>
      </c>
      <c r="E26" s="21" t="n">
        <v>49781.0</v>
      </c>
      <c r="F26" s="22" t="n">
        <f>13598</f>
        <v>13598.0</v>
      </c>
      <c r="G26" s="21" t="n">
        <v>1.85376989784E12</v>
      </c>
      <c r="H26" s="22" t="n">
        <f>506952027840</f>
        <v>5.0695202784E11</v>
      </c>
    </row>
    <row r="27" spans="1:8" ht="24.9" customHeight="1">
      <c r="A27" s="51"/>
      <c r="B27" s="57"/>
      <c r="C27" s="39"/>
      <c r="D27" s="24" t="s">
        <v>18</v>
      </c>
      <c r="E27" s="25" t="n">
        <v>101427.0</v>
      </c>
      <c r="F27" s="26" t="n">
        <f>13830</f>
        <v>13830.0</v>
      </c>
      <c r="G27" s="25" t="n">
        <v>3.78168240538E12</v>
      </c>
      <c r="H27" s="26" t="n">
        <f>515625222380</f>
        <v>5.1562522238E11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11769.0</v>
      </c>
      <c r="F28" s="18" t="n">
        <f>751</f>
        <v>751.0</v>
      </c>
      <c r="G28" s="17" t="n">
        <v>4.404335165E10</v>
      </c>
      <c r="H28" s="18" t="n">
        <f>2810757150</f>
        <v>2.81075715E9</v>
      </c>
    </row>
    <row r="29" spans="1:8" ht="24.9" customHeight="1">
      <c r="A29" s="51"/>
      <c r="B29" s="57"/>
      <c r="C29" s="39"/>
      <c r="D29" s="20" t="s">
        <v>16</v>
      </c>
      <c r="E29" s="21" t="n">
        <v>7277.0</v>
      </c>
      <c r="F29" s="22" t="n">
        <f>232</f>
        <v>232.0</v>
      </c>
      <c r="G29" s="21" t="n">
        <v>2.70803087E10</v>
      </c>
      <c r="H29" s="22" t="n">
        <f>863638200</f>
        <v>8.636382E8</v>
      </c>
    </row>
    <row r="30" spans="1:8" ht="24.9" customHeight="1">
      <c r="A30" s="51"/>
      <c r="B30" s="57"/>
      <c r="C30" s="39"/>
      <c r="D30" s="20" t="s">
        <v>17</v>
      </c>
      <c r="E30" s="21" t="n">
        <v>9154.0</v>
      </c>
      <c r="F30" s="22" t="n">
        <f>270</f>
        <v>270.0</v>
      </c>
      <c r="G30" s="21" t="n">
        <v>3.4056934315E10</v>
      </c>
      <c r="H30" s="22" t="n">
        <f>1004816065</f>
        <v>1.004816065E9</v>
      </c>
    </row>
    <row r="31" spans="1:8" ht="24.9" customHeight="1">
      <c r="A31" s="51"/>
      <c r="B31" s="57"/>
      <c r="C31" s="39"/>
      <c r="D31" s="24" t="s">
        <v>18</v>
      </c>
      <c r="E31" s="25" t="n">
        <v>28200.0</v>
      </c>
      <c r="F31" s="26" t="n">
        <f>1253</f>
        <v>1253.0</v>
      </c>
      <c r="G31" s="25" t="n">
        <v>1.05180594665E11</v>
      </c>
      <c r="H31" s="26" t="n">
        <f>4679211415</f>
        <v>4.679211415E9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901.0</v>
      </c>
      <c r="F36" s="18" t="n">
        <f>0</f>
        <v>0.0</v>
      </c>
      <c r="G36" s="17" t="n">
        <v>3.067618E9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779.0</v>
      </c>
      <c r="F37" s="22" t="n">
        <f>2</f>
        <v>2.0</v>
      </c>
      <c r="G37" s="21" t="n">
        <v>2.644139E9</v>
      </c>
      <c r="H37" s="22" t="n">
        <f>6776500</f>
        <v>6776500.0</v>
      </c>
    </row>
    <row r="38" spans="1:8" ht="24.9" customHeight="1">
      <c r="A38" s="51"/>
      <c r="B38" s="57"/>
      <c r="C38" s="39"/>
      <c r="D38" s="20" t="s">
        <v>17</v>
      </c>
      <c r="E38" s="21" t="n">
        <v>744.0</v>
      </c>
      <c r="F38" s="22" t="n">
        <f>7</f>
        <v>7.0</v>
      </c>
      <c r="G38" s="21" t="n">
        <v>2.52257399E9</v>
      </c>
      <c r="H38" s="22" t="n">
        <f>23716990</f>
        <v>2.371699E7</v>
      </c>
    </row>
    <row r="39" spans="1:8" ht="24.9" customHeight="1">
      <c r="A39" s="51"/>
      <c r="B39" s="57"/>
      <c r="C39" s="39"/>
      <c r="D39" s="24" t="s">
        <v>18</v>
      </c>
      <c r="E39" s="25" t="n">
        <v>2424.0</v>
      </c>
      <c r="F39" s="26" t="n">
        <f>9</f>
        <v>9.0</v>
      </c>
      <c r="G39" s="25" t="n">
        <v>8.23433099E9</v>
      </c>
      <c r="H39" s="26" t="n">
        <f>30493490</f>
        <v>3.049349E7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239.0</v>
      </c>
      <c r="F45" s="22" t="n">
        <f>237</f>
        <v>237.0</v>
      </c>
      <c r="G45" s="21" t="n">
        <v>1.41984788E9</v>
      </c>
      <c r="H45" s="22" t="n">
        <f>1407965880</f>
        <v>1.40796588E9</v>
      </c>
    </row>
    <row r="46" spans="1:8" ht="24.9" customHeight="1">
      <c r="A46" s="51"/>
      <c r="B46" s="57"/>
      <c r="C46" s="39"/>
      <c r="D46" s="20" t="s">
        <v>17</v>
      </c>
      <c r="E46" s="21" t="n">
        <v>179.0</v>
      </c>
      <c r="F46" s="22" t="n">
        <f>176</f>
        <v>176.0</v>
      </c>
      <c r="G46" s="21" t="n">
        <v>1.06383E9</v>
      </c>
      <c r="H46" s="22" t="n">
        <f>1046040000</f>
        <v>1.04604E9</v>
      </c>
    </row>
    <row r="47" spans="1:8" ht="24.9" customHeight="1">
      <c r="A47" s="51"/>
      <c r="B47" s="57"/>
      <c r="C47" s="39"/>
      <c r="D47" s="24" t="s">
        <v>18</v>
      </c>
      <c r="E47" s="25" t="n">
        <v>418.0</v>
      </c>
      <c r="F47" s="26" t="n">
        <f>413</f>
        <v>413.0</v>
      </c>
      <c r="G47" s="25" t="n">
        <v>2.48367788E9</v>
      </c>
      <c r="H47" s="26" t="n">
        <f>2454005880</f>
        <v>2.45400588E9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5.0</v>
      </c>
      <c r="F48" s="18" t="n">
        <f>4</f>
        <v>4.0</v>
      </c>
      <c r="G48" s="17" t="n">
        <v>9374000.0</v>
      </c>
      <c r="H48" s="18" t="n">
        <f>7504000</f>
        <v>7504000.0</v>
      </c>
    </row>
    <row r="49" spans="1:8" ht="24.9" customHeight="1">
      <c r="A49" s="51"/>
      <c r="B49" s="57"/>
      <c r="C49" s="39"/>
      <c r="D49" s="20" t="s">
        <v>16</v>
      </c>
      <c r="E49" s="21" t="n">
        <v>57.0</v>
      </c>
      <c r="F49" s="22" t="n">
        <f>0</f>
        <v>0.0</v>
      </c>
      <c r="G49" s="21" t="n">
        <v>1.06691E8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96.0</v>
      </c>
      <c r="F50" s="22" t="n">
        <f>48</f>
        <v>48.0</v>
      </c>
      <c r="G50" s="21" t="n">
        <v>1.7994156E8</v>
      </c>
      <c r="H50" s="22" t="n">
        <f>89914060</f>
        <v>8.991406E7</v>
      </c>
    </row>
    <row r="51" spans="1:8" ht="24.9" customHeight="1">
      <c r="A51" s="51"/>
      <c r="B51" s="57"/>
      <c r="C51" s="39"/>
      <c r="D51" s="24" t="s">
        <v>18</v>
      </c>
      <c r="E51" s="25" t="n">
        <v>158.0</v>
      </c>
      <c r="F51" s="26" t="n">
        <f>52</f>
        <v>52.0</v>
      </c>
      <c r="G51" s="25" t="n">
        <v>2.9600656E8</v>
      </c>
      <c r="H51" s="26" t="n">
        <f>97418060</f>
        <v>9.741806E7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1905.0</v>
      </c>
      <c r="F56" s="18" t="n">
        <f>50</f>
        <v>50.0</v>
      </c>
      <c r="G56" s="17" t="n">
        <v>1.4279523E9</v>
      </c>
      <c r="H56" s="18" t="n">
        <f>37437300</f>
        <v>3.74373E7</v>
      </c>
    </row>
    <row r="57" spans="1:8" ht="24.9" customHeight="1">
      <c r="A57" s="51"/>
      <c r="B57" s="57"/>
      <c r="C57" s="39"/>
      <c r="D57" s="20" t="s">
        <v>16</v>
      </c>
      <c r="E57" s="21" t="n">
        <v>1010.0</v>
      </c>
      <c r="F57" s="22" t="n">
        <f>22</f>
        <v>22.0</v>
      </c>
      <c r="G57" s="21" t="n">
        <v>7.521601E8</v>
      </c>
      <c r="H57" s="22" t="n">
        <f>16424100</f>
        <v>1.64241E7</v>
      </c>
    </row>
    <row r="58" spans="1:8" ht="24.9" customHeight="1">
      <c r="A58" s="51"/>
      <c r="B58" s="57"/>
      <c r="C58" s="39"/>
      <c r="D58" s="20" t="s">
        <v>17</v>
      </c>
      <c r="E58" s="21" t="n">
        <v>1272.0</v>
      </c>
      <c r="F58" s="22" t="n">
        <f>61</f>
        <v>61.0</v>
      </c>
      <c r="G58" s="21" t="n">
        <v>9.517559E8</v>
      </c>
      <c r="H58" s="22" t="n">
        <f>46053900</f>
        <v>4.60539E7</v>
      </c>
    </row>
    <row r="59" spans="1:8" ht="24.9" customHeight="1">
      <c r="A59" s="51"/>
      <c r="B59" s="57"/>
      <c r="C59" s="39"/>
      <c r="D59" s="24" t="s">
        <v>18</v>
      </c>
      <c r="E59" s="25" t="n">
        <v>4187.0</v>
      </c>
      <c r="F59" s="26" t="n">
        <f>133</f>
        <v>133.0</v>
      </c>
      <c r="G59" s="25" t="n">
        <v>3.1318683E9</v>
      </c>
      <c r="H59" s="26" t="n">
        <f>99915300</f>
        <v>9.99153E7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185.0</v>
      </c>
      <c r="F60" s="18" t="n">
        <f>2</f>
        <v>2.0</v>
      </c>
      <c r="G60" s="17" t="n">
        <v>9.128149E8</v>
      </c>
      <c r="H60" s="18" t="n">
        <f>9839900</f>
        <v>9839900.0</v>
      </c>
    </row>
    <row r="61" spans="1:8" ht="24.9" customHeight="1">
      <c r="A61" s="51"/>
      <c r="B61" s="57"/>
      <c r="C61" s="39"/>
      <c r="D61" s="20" t="s">
        <v>16</v>
      </c>
      <c r="E61" s="21" t="n">
        <v>27.0</v>
      </c>
      <c r="F61" s="22" t="n">
        <f>4</f>
        <v>4.0</v>
      </c>
      <c r="G61" s="21" t="n">
        <v>1.319998E8</v>
      </c>
      <c r="H61" s="22" t="n">
        <f>19583900</f>
        <v>1.95839E7</v>
      </c>
    </row>
    <row r="62" spans="1:8" ht="24.9" customHeight="1">
      <c r="A62" s="51"/>
      <c r="B62" s="57"/>
      <c r="C62" s="39"/>
      <c r="D62" s="20" t="s">
        <v>17</v>
      </c>
      <c r="E62" s="21" t="n">
        <v>23.0</v>
      </c>
      <c r="F62" s="22" t="n">
        <f>2</f>
        <v>2.0</v>
      </c>
      <c r="G62" s="21" t="n">
        <v>1.120858E8</v>
      </c>
      <c r="H62" s="22" t="n">
        <f>9738100</f>
        <v>9738100.0</v>
      </c>
    </row>
    <row r="63" spans="1:8" ht="24.9" customHeight="1">
      <c r="A63" s="51"/>
      <c r="B63" s="57"/>
      <c r="C63" s="39"/>
      <c r="D63" s="24" t="s">
        <v>18</v>
      </c>
      <c r="E63" s="25" t="n">
        <v>235.0</v>
      </c>
      <c r="F63" s="26" t="n">
        <f>8</f>
        <v>8.0</v>
      </c>
      <c r="G63" s="25" t="n">
        <v>1.1569005E9</v>
      </c>
      <c r="H63" s="26" t="n">
        <f>39161900</f>
        <v>3.91619E7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17.0</v>
      </c>
      <c r="F76" s="18" t="n">
        <f>0</f>
        <v>0.0</v>
      </c>
      <c r="G76" s="17" t="n">
        <v>5725000.0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10.0</v>
      </c>
      <c r="F77" s="22" t="n">
        <f>0</f>
        <v>0.0</v>
      </c>
      <c r="G77" s="21" t="n">
        <v>3413000.0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5.0</v>
      </c>
      <c r="F78" s="22" t="n">
        <f>0</f>
        <v>0.0</v>
      </c>
      <c r="G78" s="21" t="n">
        <v>1678000.0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32.0</v>
      </c>
      <c r="F79" s="26" t="n">
        <f>0</f>
        <v>0.0</v>
      </c>
      <c r="G79" s="25" t="n">
        <v>1.0816E7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2439.0</v>
      </c>
      <c r="F92" s="18" t="n">
        <f>0</f>
        <v>0.0</v>
      </c>
      <c r="G92" s="17" t="n">
        <v>3.8768097E9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432.0</v>
      </c>
      <c r="F93" s="22" t="n">
        <f>0</f>
        <v>0.0</v>
      </c>
      <c r="G93" s="21" t="n">
        <v>6.893444E8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807.0</v>
      </c>
      <c r="F94" s="22" t="n">
        <f>0</f>
        <v>0.0</v>
      </c>
      <c r="G94" s="21" t="n">
        <v>1.2906611E9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3678.0</v>
      </c>
      <c r="F95" s="26" t="n">
        <f>0</f>
        <v>0.0</v>
      </c>
      <c r="G95" s="25" t="n">
        <v>5.8568152E9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318.0</v>
      </c>
      <c r="F96" s="18" t="n">
        <f>0</f>
        <v>0.0</v>
      </c>
      <c r="G96" s="17" t="n">
        <v>7.416162E8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318.0</v>
      </c>
      <c r="F99" s="26" t="n">
        <f>0</f>
        <v>0.0</v>
      </c>
      <c r="G99" s="25" t="n">
        <v>7.416162E8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7.0</v>
      </c>
      <c r="F100" s="18" t="n">
        <f>0</f>
        <v>0.0</v>
      </c>
      <c r="G100" s="17" t="n">
        <v>1.30659E7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7.0</v>
      </c>
      <c r="F103" s="26" t="n">
        <f>0</f>
        <v>0.0</v>
      </c>
      <c r="G103" s="25" t="n">
        <v>1.30659E7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9207.0</v>
      </c>
      <c r="F108" s="18" t="n">
        <f>1</f>
        <v>1.0</v>
      </c>
      <c r="G108" s="17" t="n">
        <v>1.19323577E12</v>
      </c>
      <c r="H108" s="18" t="n">
        <f>129640000</f>
        <v>1.2964E8</v>
      </c>
    </row>
    <row r="109" spans="1:8" ht="24.9" customHeight="1">
      <c r="A109" s="51"/>
      <c r="B109" s="57"/>
      <c r="C109" s="39"/>
      <c r="D109" s="20" t="s">
        <v>16</v>
      </c>
      <c r="E109" s="21" t="n">
        <v>21762.0</v>
      </c>
      <c r="F109" s="22" t="n">
        <f>1012</f>
        <v>1012.0</v>
      </c>
      <c r="G109" s="21" t="n">
        <v>2.812682825E12</v>
      </c>
      <c r="H109" s="22" t="n">
        <f>130827505000</f>
        <v>1.30827505E11</v>
      </c>
    </row>
    <row r="110" spans="1:8" ht="24.9" customHeight="1">
      <c r="A110" s="51"/>
      <c r="B110" s="57"/>
      <c r="C110" s="39"/>
      <c r="D110" s="20" t="s">
        <v>17</v>
      </c>
      <c r="E110" s="21" t="n">
        <v>18729.0</v>
      </c>
      <c r="F110" s="22" t="n">
        <f>1594</f>
        <v>1594.0</v>
      </c>
      <c r="G110" s="21" t="n">
        <v>2.4199373E12</v>
      </c>
      <c r="H110" s="22" t="n">
        <f>205945340000</f>
        <v>2.0594534E11</v>
      </c>
    </row>
    <row r="111" spans="1:8" ht="24.9" customHeight="1">
      <c r="A111" s="51"/>
      <c r="B111" s="57"/>
      <c r="C111" s="39"/>
      <c r="D111" s="24" t="s">
        <v>18</v>
      </c>
      <c r="E111" s="25" t="n">
        <v>49698.0</v>
      </c>
      <c r="F111" s="26" t="n">
        <f>2607</f>
        <v>2607.0</v>
      </c>
      <c r="G111" s="25" t="n">
        <v>6.425855895E12</v>
      </c>
      <c r="H111" s="26" t="n">
        <f>336902485000</f>
        <v>3.36902485E11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304.0</v>
      </c>
      <c r="F113" s="22" t="n">
        <f>0</f>
        <v>0.0</v>
      </c>
      <c r="G113" s="21" t="n">
        <v>3.930188E9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3.0</v>
      </c>
      <c r="F114" s="22" t="n">
        <f>0</f>
        <v>0.0</v>
      </c>
      <c r="G114" s="21" t="n">
        <v>3.8765E7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307.0</v>
      </c>
      <c r="F115" s="26" t="n">
        <f>0</f>
        <v>0.0</v>
      </c>
      <c r="G115" s="25" t="n">
        <v>3.968953E9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212.0</v>
      </c>
      <c r="F118" s="22" t="n">
        <f>212</f>
        <v>212.0</v>
      </c>
      <c r="G118" s="21" t="n">
        <v>1.9981E9</v>
      </c>
      <c r="H118" s="22" t="n">
        <f>1998100000</f>
        <v>1.9981E9</v>
      </c>
    </row>
    <row r="119" spans="1:8" ht="24.9" customHeight="1">
      <c r="A119" s="51"/>
      <c r="B119" s="58"/>
      <c r="C119" s="39"/>
      <c r="D119" s="24" t="s">
        <v>18</v>
      </c>
      <c r="E119" s="25" t="n">
        <v>212.0</v>
      </c>
      <c r="F119" s="26" t="n">
        <f>212</f>
        <v>212.0</v>
      </c>
      <c r="G119" s="25" t="n">
        <v>1.9981E9</v>
      </c>
      <c r="H119" s="26" t="n">
        <f>1998100000</f>
        <v>1.9981E9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23.0</v>
      </c>
      <c r="F120" s="18" t="n">
        <f>0</f>
        <v>0.0</v>
      </c>
      <c r="G120" s="17" t="n">
        <v>5.6796E8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20.0</v>
      </c>
      <c r="F121" s="22" t="n">
        <f>0</f>
        <v>0.0</v>
      </c>
      <c r="G121" s="21" t="n">
        <v>4.949E8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16.0</v>
      </c>
      <c r="F122" s="22" t="n">
        <f>0</f>
        <v>0.0</v>
      </c>
      <c r="G122" s="21" t="n">
        <v>3.95980625E8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59.0</v>
      </c>
      <c r="F123" s="26" t="n">
        <f>0</f>
        <v>0.0</v>
      </c>
      <c r="G123" s="25" t="n">
        <v>1.458840625E9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15800.0</v>
      </c>
      <c r="F124" s="18" t="n">
        <f>0</f>
        <v>0.0</v>
      </c>
      <c r="G124" s="17" t="n">
        <v>3.83011726E11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2875.0</v>
      </c>
      <c r="F125" s="22" t="n">
        <f>0</f>
        <v>0.0</v>
      </c>
      <c r="G125" s="21" t="n">
        <v>6.9700328E10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2315.0</v>
      </c>
      <c r="F126" s="22" t="n">
        <f>0</f>
        <v>0.0</v>
      </c>
      <c r="G126" s="21" t="n">
        <v>5.6104179E10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20990.0</v>
      </c>
      <c r="F127" s="26" t="n">
        <f>0</f>
        <v>0.0</v>
      </c>
      <c r="G127" s="25" t="n">
        <v>5.08816233E11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228.0</v>
      </c>
      <c r="F128" s="18" t="n">
        <f>0</f>
        <v>0.0</v>
      </c>
      <c r="G128" s="17" t="n">
        <v>5.510369E8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140.0</v>
      </c>
      <c r="F129" s="22" t="n">
        <f>0</f>
        <v>0.0</v>
      </c>
      <c r="G129" s="21" t="n">
        <v>3.388342E8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136.0</v>
      </c>
      <c r="F130" s="22" t="n">
        <f>0</f>
        <v>0.0</v>
      </c>
      <c r="G130" s="21" t="n">
        <v>3.292833E8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504.0</v>
      </c>
      <c r="F131" s="26" t="n">
        <f>0</f>
        <v>0.0</v>
      </c>
      <c r="G131" s="25" t="n">
        <v>1.2191544E9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13238.0</v>
      </c>
      <c r="F132" s="18" t="n">
        <f>0</f>
        <v>0.0</v>
      </c>
      <c r="G132" s="17" t="n">
        <v>3.21792259E10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1406.0</v>
      </c>
      <c r="F133" s="22" t="n">
        <f>1</f>
        <v>1.0</v>
      </c>
      <c r="G133" s="21" t="n">
        <v>3.4188672E9</v>
      </c>
      <c r="H133" s="22" t="n">
        <f>2430200</f>
        <v>2430200.0</v>
      </c>
    </row>
    <row r="134" spans="1:8" ht="24.9" customHeight="1">
      <c r="A134" s="51"/>
      <c r="B134" s="57"/>
      <c r="C134" s="39"/>
      <c r="D134" s="20" t="s">
        <v>17</v>
      </c>
      <c r="E134" s="21" t="n">
        <v>1889.0</v>
      </c>
      <c r="F134" s="22" t="n">
        <f>0</f>
        <v>0.0</v>
      </c>
      <c r="G134" s="21" t="n">
        <v>4.5912972E9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16533.0</v>
      </c>
      <c r="F135" s="26" t="n">
        <f>1</f>
        <v>1.0</v>
      </c>
      <c r="G135" s="25" t="n">
        <v>4.01893903E10</v>
      </c>
      <c r="H135" s="26" t="n">
        <f>2430200</f>
        <v>2430200.0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328.0</v>
      </c>
      <c r="F136" s="18" t="n">
        <f>0</f>
        <v>0.0</v>
      </c>
      <c r="G136" s="17" t="n">
        <v>7.869215E8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67.0</v>
      </c>
      <c r="F137" s="22" t="n">
        <f>0</f>
        <v>0.0</v>
      </c>
      <c r="G137" s="21" t="n">
        <v>1.607996E8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99.0</v>
      </c>
      <c r="F138" s="22" t="n">
        <f>0</f>
        <v>0.0</v>
      </c>
      <c r="G138" s="21" t="n">
        <v>2.379129E8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494.0</v>
      </c>
      <c r="F139" s="26" t="n">
        <f>0</f>
        <v>0.0</v>
      </c>
      <c r="G139" s="25" t="n">
        <v>1.185634E9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1.0</v>
      </c>
      <c r="F140" s="18" t="n">
        <f>0</f>
        <v>0.0</v>
      </c>
      <c r="G140" s="17" t="n">
        <v>1.095E7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1.0</v>
      </c>
      <c r="F141" s="22" t="n">
        <f>0</f>
        <v>0.0</v>
      </c>
      <c r="G141" s="21" t="n">
        <v>1.14E7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3.0</v>
      </c>
      <c r="F142" s="22" t="n">
        <f>0</f>
        <v>0.0</v>
      </c>
      <c r="G142" s="21" t="n">
        <v>3.3453E7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5.0</v>
      </c>
      <c r="F143" s="26" t="n">
        <f>0</f>
        <v>0.0</v>
      </c>
      <c r="G143" s="25" t="n">
        <v>5.5803E7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2571.0</v>
      </c>
      <c r="F144" s="18" t="n">
        <f>0</f>
        <v>0.0</v>
      </c>
      <c r="G144" s="17" t="n">
        <v>1.2548124E10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1230.0</v>
      </c>
      <c r="F145" s="22" t="n">
        <f>0</f>
        <v>0.0</v>
      </c>
      <c r="G145" s="21" t="n">
        <v>5.95552E9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1909.0</v>
      </c>
      <c r="F146" s="22" t="n">
        <f>0</f>
        <v>0.0</v>
      </c>
      <c r="G146" s="21" t="n">
        <v>9.259228E9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5710.0</v>
      </c>
      <c r="F147" s="26" t="n">
        <f>0</f>
        <v>0.0</v>
      </c>
      <c r="G147" s="25" t="n">
        <v>2.7762872E10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249.0</v>
      </c>
      <c r="F148" s="18" t="n">
        <f>0</f>
        <v>0.0</v>
      </c>
      <c r="G148" s="17" t="n">
        <v>2.472463E8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303.0</v>
      </c>
      <c r="F149" s="22" t="n">
        <f>0</f>
        <v>0.0</v>
      </c>
      <c r="G149" s="21" t="n">
        <v>2.976806E8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841.0</v>
      </c>
      <c r="F150" s="22" t="n">
        <f>0</f>
        <v>0.0</v>
      </c>
      <c r="G150" s="21" t="n">
        <v>8.27372E8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1393.0</v>
      </c>
      <c r="F151" s="26" t="n">
        <f>0</f>
        <v>0.0</v>
      </c>
      <c r="G151" s="25" t="n">
        <v>1.3722989E9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482.0</v>
      </c>
      <c r="F152" s="18" t="n">
        <f>0</f>
        <v>0.0</v>
      </c>
      <c r="G152" s="17" t="n">
        <v>4.713985E8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148.0</v>
      </c>
      <c r="F153" s="22" t="n">
        <f>0</f>
        <v>0.0</v>
      </c>
      <c r="G153" s="21" t="n">
        <v>1.437119E8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128.0</v>
      </c>
      <c r="F154" s="22" t="n">
        <f>0</f>
        <v>0.0</v>
      </c>
      <c r="G154" s="21" t="n">
        <v>1.2439505E8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758.0</v>
      </c>
      <c r="F155" s="26" t="n">
        <f>0</f>
        <v>0.0</v>
      </c>
      <c r="G155" s="25" t="n">
        <v>7.3950545E8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768.0</v>
      </c>
      <c r="F156" s="18" t="n">
        <f>0</f>
        <v>0.0</v>
      </c>
      <c r="G156" s="17" t="n">
        <v>7.485504E8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741.0</v>
      </c>
      <c r="F157" s="22" t="n">
        <f>0</f>
        <v>0.0</v>
      </c>
      <c r="G157" s="21" t="n">
        <v>7.138538E8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610.0</v>
      </c>
      <c r="F158" s="22" t="n">
        <f>0</f>
        <v>0.0</v>
      </c>
      <c r="G158" s="21" t="n">
        <v>5.848346E8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2119.0</v>
      </c>
      <c r="F159" s="26" t="n">
        <f>0</f>
        <v>0.0</v>
      </c>
      <c r="G159" s="25" t="n">
        <v>2.0472388E9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1265.0</v>
      </c>
      <c r="F168" s="18" t="n">
        <f>0</f>
        <v>0.0</v>
      </c>
      <c r="G168" s="17" t="n">
        <v>2.5544845E9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363.0</v>
      </c>
      <c r="F169" s="22" t="n">
        <f>12</f>
        <v>12.0</v>
      </c>
      <c r="G169" s="21" t="n">
        <v>7.34767E8</v>
      </c>
      <c r="H169" s="22" t="n">
        <f>23520000</f>
        <v>2.352E7</v>
      </c>
    </row>
    <row r="170" spans="1:8" ht="24.9" customHeight="1">
      <c r="A170" s="51"/>
      <c r="B170" s="57"/>
      <c r="C170" s="39"/>
      <c r="D170" s="20" t="s">
        <v>17</v>
      </c>
      <c r="E170" s="21" t="n">
        <v>1578.0</v>
      </c>
      <c r="F170" s="22" t="n">
        <f>0</f>
        <v>0.0</v>
      </c>
      <c r="G170" s="21" t="n">
        <v>3.233473E9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3206.0</v>
      </c>
      <c r="F171" s="26" t="n">
        <f>12</f>
        <v>12.0</v>
      </c>
      <c r="G171" s="25" t="n">
        <v>6.5227245E9</v>
      </c>
      <c r="H171" s="26" t="n">
        <f>23520000</f>
        <v>2.352E7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55.0</v>
      </c>
      <c r="F176" s="18" t="n">
        <f>0</f>
        <v>0.0</v>
      </c>
      <c r="G176" s="17" t="n">
        <v>9.61785E7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41.0</v>
      </c>
      <c r="F178" s="22" t="n">
        <f>0</f>
        <v>0.0</v>
      </c>
      <c r="G178" s="21" t="n">
        <v>7.1927E7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96.0</v>
      </c>
      <c r="F179" s="26" t="n">
        <f>0</f>
        <v>0.0</v>
      </c>
      <c r="G179" s="25" t="n">
        <v>1.681055E8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741.0</v>
      </c>
      <c r="F204" s="18" t="n">
        <f>0</f>
        <v>0.0</v>
      </c>
      <c r="G204" s="17" t="n">
        <v>3.3178225E9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270.0</v>
      </c>
      <c r="F205" s="22" t="n">
        <f>0</f>
        <v>0.0</v>
      </c>
      <c r="G205" s="21" t="n">
        <v>1.205556E9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2072.0</v>
      </c>
      <c r="F206" s="22" t="n">
        <f>206</f>
        <v>206.0</v>
      </c>
      <c r="G206" s="21" t="n">
        <v>9.563351E9</v>
      </c>
      <c r="H206" s="22" t="n">
        <f>1012150000</f>
        <v>1.01215E9</v>
      </c>
    </row>
    <row r="207" spans="1:8" ht="24.9" customHeight="1">
      <c r="A207" s="57"/>
      <c r="B207" s="59"/>
      <c r="C207" s="39"/>
      <c r="D207" s="24" t="s">
        <v>18</v>
      </c>
      <c r="E207" s="25" t="n">
        <v>3083.0</v>
      </c>
      <c r="F207" s="26" t="n">
        <f>206</f>
        <v>206.0</v>
      </c>
      <c r="G207" s="25" t="n">
        <v>1.40867295E10</v>
      </c>
      <c r="H207" s="26" t="n">
        <f>1012150000</f>
        <v>1.01215E9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46142.0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46142.0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10363</f>
        <v>10363.0</v>
      </c>
      <c r="E12" s="35" t="n">
        <f>3923</f>
        <v>3923.0</v>
      </c>
      <c r="F12" s="17" t="n">
        <f>5836</f>
        <v>5836.0</v>
      </c>
      <c r="G12" s="35" t="n">
        <f>1593</f>
        <v>1593.0</v>
      </c>
      <c r="H12" s="17" t="n">
        <f>16199</f>
        <v>16199.0</v>
      </c>
      <c r="I12" s="35" t="n">
        <f>5516</f>
        <v>5516.0</v>
      </c>
      <c r="J12" s="17" t="n">
        <f>2912946380</f>
        <v>2.91294638E9</v>
      </c>
      <c r="K12" s="35" t="n">
        <f>1820068380</f>
        <v>1.82006838E9</v>
      </c>
      <c r="L12" s="17" t="n">
        <f>1394944510</f>
        <v>1.39494451E9</v>
      </c>
      <c r="M12" s="35" t="n">
        <f>429718510</f>
        <v>4.2971851E8</v>
      </c>
      <c r="N12" s="17" t="n">
        <f>4307890890</f>
        <v>4.30789089E9</v>
      </c>
      <c r="O12" s="35" t="n">
        <f>2249786890</f>
        <v>2.24978689E9</v>
      </c>
    </row>
    <row r="13" spans="1:15" ht="24.9" customHeight="1">
      <c r="A13" s="38"/>
      <c r="B13" s="62"/>
      <c r="C13" s="20" t="s">
        <v>16</v>
      </c>
      <c r="D13" s="21" t="n">
        <f>8015</f>
        <v>8015.0</v>
      </c>
      <c r="E13" s="36" t="n">
        <f>4144</f>
        <v>4144.0</v>
      </c>
      <c r="F13" s="21" t="n">
        <f>4538</f>
        <v>4538.0</v>
      </c>
      <c r="G13" s="36" t="n">
        <f>2436</f>
        <v>2436.0</v>
      </c>
      <c r="H13" s="21" t="n">
        <f>12553</f>
        <v>12553.0</v>
      </c>
      <c r="I13" s="36" t="n">
        <f>6580</f>
        <v>6580.0</v>
      </c>
      <c r="J13" s="21" t="n">
        <f>3470947860</f>
        <v>3.47094786E9</v>
      </c>
      <c r="K13" s="36" t="n">
        <f>2784724860</f>
        <v>2.78472486E9</v>
      </c>
      <c r="L13" s="21" t="n">
        <f>3619332260</f>
        <v>3.61933226E9</v>
      </c>
      <c r="M13" s="36" t="n">
        <f>3209659260</f>
        <v>3.20965926E9</v>
      </c>
      <c r="N13" s="21" t="n">
        <f>7090280120</f>
        <v>7.09028012E9</v>
      </c>
      <c r="O13" s="36" t="n">
        <f>5994384120</f>
        <v>5.99438412E9</v>
      </c>
    </row>
    <row r="14" spans="1:15" ht="24.9" customHeight="1">
      <c r="A14" s="38"/>
      <c r="B14" s="62"/>
      <c r="C14" s="20" t="s">
        <v>17</v>
      </c>
      <c r="D14" s="21" t="n">
        <f>16856</f>
        <v>16856.0</v>
      </c>
      <c r="E14" s="36" t="n">
        <f>10572</f>
        <v>10572.0</v>
      </c>
      <c r="F14" s="21" t="n">
        <f>7982</f>
        <v>7982.0</v>
      </c>
      <c r="G14" s="36" t="n">
        <f>5436</f>
        <v>5436.0</v>
      </c>
      <c r="H14" s="21" t="n">
        <f>24838</f>
        <v>24838.0</v>
      </c>
      <c r="I14" s="36" t="n">
        <f>16008</f>
        <v>16008.0</v>
      </c>
      <c r="J14" s="21" t="n">
        <f>15612051246</f>
        <v>1.5612051246E10</v>
      </c>
      <c r="K14" s="36" t="n">
        <f>13985528246</f>
        <v>1.3985528246E10</v>
      </c>
      <c r="L14" s="21" t="n">
        <f>5282061900</f>
        <v>5.2820619E9</v>
      </c>
      <c r="M14" s="36" t="n">
        <f>4564540900</f>
        <v>4.5645409E9</v>
      </c>
      <c r="N14" s="21" t="n">
        <f>20894113146</f>
        <v>2.0894113146E10</v>
      </c>
      <c r="O14" s="36" t="n">
        <f>18550069146</f>
        <v>1.8550069146E10</v>
      </c>
    </row>
    <row r="15" spans="1:15" ht="24.9" customHeight="1">
      <c r="A15" s="38"/>
      <c r="B15" s="62"/>
      <c r="C15" s="24" t="s">
        <v>18</v>
      </c>
      <c r="D15" s="25" t="n">
        <f>35234</f>
        <v>35234.0</v>
      </c>
      <c r="E15" s="37" t="n">
        <f>18639</f>
        <v>18639.0</v>
      </c>
      <c r="F15" s="25" t="n">
        <f>18356</f>
        <v>18356.0</v>
      </c>
      <c r="G15" s="37" t="n">
        <f>9465</f>
        <v>9465.0</v>
      </c>
      <c r="H15" s="25" t="n">
        <f>53590</f>
        <v>53590.0</v>
      </c>
      <c r="I15" s="37" t="n">
        <f>28104</f>
        <v>28104.0</v>
      </c>
      <c r="J15" s="25" t="n">
        <f>21995945486</f>
        <v>2.1995945486E10</v>
      </c>
      <c r="K15" s="37" t="n">
        <f>18590321486</f>
        <v>1.8590321486E10</v>
      </c>
      <c r="L15" s="25" t="n">
        <f>10296338670</f>
        <v>1.029633867E10</v>
      </c>
      <c r="M15" s="37" t="n">
        <f>8203918670</f>
        <v>8.20391867E9</v>
      </c>
      <c r="N15" s="25" t="n">
        <f>32292284156</f>
        <v>3.2292284156E10</v>
      </c>
      <c r="O15" s="37" t="n">
        <f>26794240156</f>
        <v>2.6794240156E10</v>
      </c>
    </row>
    <row r="16" spans="1:15" ht="24.9" customHeight="1">
      <c r="A16" s="38"/>
      <c r="B16" s="61" t="s">
        <v>105</v>
      </c>
      <c r="C16" s="16" t="s">
        <v>15</v>
      </c>
      <c r="D16" s="17" t="n">
        <f>24072</f>
        <v>24072.0</v>
      </c>
      <c r="E16" s="35" t="n">
        <f>3230</f>
        <v>3230.0</v>
      </c>
      <c r="F16" s="17" t="n">
        <f>21477</f>
        <v>21477.0</v>
      </c>
      <c r="G16" s="35" t="n">
        <f>2510</f>
        <v>2510.0</v>
      </c>
      <c r="H16" s="17" t="n">
        <f>45549</f>
        <v>45549.0</v>
      </c>
      <c r="I16" s="35" t="n">
        <f>5740</f>
        <v>5740.0</v>
      </c>
      <c r="J16" s="17" t="n">
        <f>465388420</f>
        <v>4.6538842E8</v>
      </c>
      <c r="K16" s="35" t="n">
        <f>13899420</f>
        <v>1.389942E7</v>
      </c>
      <c r="L16" s="17" t="n">
        <f>472780480</f>
        <v>4.7278048E8</v>
      </c>
      <c r="M16" s="35" t="n">
        <f>8976380</f>
        <v>8976380.0</v>
      </c>
      <c r="N16" s="17" t="n">
        <f>938168900</f>
        <v>9.381689E8</v>
      </c>
      <c r="O16" s="35" t="n">
        <f>22875800</f>
        <v>2.28758E7</v>
      </c>
    </row>
    <row r="17" spans="1:15" ht="24.9" customHeight="1">
      <c r="A17" s="38"/>
      <c r="B17" s="62"/>
      <c r="C17" s="20" t="s">
        <v>16</v>
      </c>
      <c r="D17" s="21" t="n">
        <f>7984</f>
        <v>7984.0</v>
      </c>
      <c r="E17" s="36" t="n">
        <f>500</f>
        <v>500.0</v>
      </c>
      <c r="F17" s="21" t="n">
        <f>7104</f>
        <v>7104.0</v>
      </c>
      <c r="G17" s="36" t="n">
        <f>1020</f>
        <v>1020.0</v>
      </c>
      <c r="H17" s="21" t="n">
        <f>15088</f>
        <v>15088.0</v>
      </c>
      <c r="I17" s="36" t="n">
        <f>1520</f>
        <v>1520.0</v>
      </c>
      <c r="J17" s="21" t="n">
        <f>110262990</f>
        <v>1.1026299E8</v>
      </c>
      <c r="K17" s="36" t="n">
        <f>1729990</f>
        <v>1729990.0</v>
      </c>
      <c r="L17" s="21" t="n">
        <f>124274980</f>
        <v>1.2427498E8</v>
      </c>
      <c r="M17" s="36" t="n">
        <f>2851980</f>
        <v>2851980.0</v>
      </c>
      <c r="N17" s="21" t="n">
        <f>234537970</f>
        <v>2.3453797E8</v>
      </c>
      <c r="O17" s="36" t="n">
        <f>4581970</f>
        <v>4581970.0</v>
      </c>
    </row>
    <row r="18" spans="1:15" ht="24.9" customHeight="1">
      <c r="A18" s="38"/>
      <c r="B18" s="62"/>
      <c r="C18" s="20" t="s">
        <v>17</v>
      </c>
      <c r="D18" s="21" t="n">
        <f>13548</f>
        <v>13548.0</v>
      </c>
      <c r="E18" s="36" t="n">
        <f>570</f>
        <v>570.0</v>
      </c>
      <c r="F18" s="21" t="n">
        <f>10276</f>
        <v>10276.0</v>
      </c>
      <c r="G18" s="36" t="n">
        <f>670</f>
        <v>670.0</v>
      </c>
      <c r="H18" s="21" t="n">
        <f>23824</f>
        <v>23824.0</v>
      </c>
      <c r="I18" s="36" t="n">
        <f>1240</f>
        <v>1240.0</v>
      </c>
      <c r="J18" s="21" t="n">
        <f>195079300</f>
        <v>1.950793E8</v>
      </c>
      <c r="K18" s="36" t="n">
        <f>1582700</f>
        <v>1582700.0</v>
      </c>
      <c r="L18" s="21" t="n">
        <f>175109200</f>
        <v>1.751092E8</v>
      </c>
      <c r="M18" s="36" t="n">
        <f>4055100</f>
        <v>4055100.0</v>
      </c>
      <c r="N18" s="21" t="n">
        <f>370188500</f>
        <v>3.701885E8</v>
      </c>
      <c r="O18" s="36" t="n">
        <f>5637800</f>
        <v>5637800.0</v>
      </c>
    </row>
    <row r="19" spans="1:15" ht="24.9" customHeight="1">
      <c r="A19" s="38"/>
      <c r="B19" s="62"/>
      <c r="C19" s="24" t="s">
        <v>18</v>
      </c>
      <c r="D19" s="25" t="n">
        <f>45604</f>
        <v>45604.0</v>
      </c>
      <c r="E19" s="37" t="n">
        <f>4300</f>
        <v>4300.0</v>
      </c>
      <c r="F19" s="25" t="n">
        <f>38857</f>
        <v>38857.0</v>
      </c>
      <c r="G19" s="37" t="n">
        <f>4200</f>
        <v>4200.0</v>
      </c>
      <c r="H19" s="25" t="n">
        <f>84461</f>
        <v>84461.0</v>
      </c>
      <c r="I19" s="37" t="n">
        <f>8500</f>
        <v>8500.0</v>
      </c>
      <c r="J19" s="25" t="n">
        <f>770730710</f>
        <v>7.7073071E8</v>
      </c>
      <c r="K19" s="37" t="n">
        <f>17212110</f>
        <v>1.721211E7</v>
      </c>
      <c r="L19" s="25" t="n">
        <f>772164660</f>
        <v>7.7216466E8</v>
      </c>
      <c r="M19" s="37" t="n">
        <f>15883460</f>
        <v>1.588346E7</v>
      </c>
      <c r="N19" s="25" t="n">
        <f>1542895370</f>
        <v>1.54289537E9</v>
      </c>
      <c r="O19" s="37" t="n">
        <f>33095570</f>
        <v>3.309557E7</v>
      </c>
    </row>
    <row r="20" spans="1:15" ht="24.9" customHeight="1">
      <c r="A20" s="38"/>
      <c r="B20" s="61" t="s">
        <v>106</v>
      </c>
      <c r="C20" s="16" t="s">
        <v>15</v>
      </c>
      <c r="D20" s="17" t="n">
        <f>235</f>
        <v>235.0</v>
      </c>
      <c r="E20" s="35" t="n">
        <f>235</f>
        <v>235.0</v>
      </c>
      <c r="F20" s="17" t="n">
        <f>325</f>
        <v>325.0</v>
      </c>
      <c r="G20" s="35" t="n">
        <f>325</f>
        <v>325.0</v>
      </c>
      <c r="H20" s="17" t="n">
        <f>560</f>
        <v>560.0</v>
      </c>
      <c r="I20" s="35" t="n">
        <f>560</f>
        <v>560.0</v>
      </c>
      <c r="J20" s="17" t="n">
        <f>508150000</f>
        <v>5.0815E8</v>
      </c>
      <c r="K20" s="35" t="n">
        <f>508150000</f>
        <v>5.0815E8</v>
      </c>
      <c r="L20" s="17" t="n">
        <f>665747000</f>
        <v>6.65747E8</v>
      </c>
      <c r="M20" s="35" t="n">
        <f>665747000</f>
        <v>6.65747E8</v>
      </c>
      <c r="N20" s="17" t="n">
        <f>1173897000</f>
        <v>1.173897E9</v>
      </c>
      <c r="O20" s="35" t="n">
        <f>1173897000</f>
        <v>1.173897E9</v>
      </c>
    </row>
    <row r="21" spans="1:15" ht="24.9" customHeight="1">
      <c r="A21" s="38"/>
      <c r="B21" s="62"/>
      <c r="C21" s="20" t="s">
        <v>16</v>
      </c>
      <c r="D21" s="21" t="n">
        <f>1620</f>
        <v>1620.0</v>
      </c>
      <c r="E21" s="36" t="n">
        <f>1620</f>
        <v>1620.0</v>
      </c>
      <c r="F21" s="21" t="n">
        <f>0</f>
        <v>0.0</v>
      </c>
      <c r="G21" s="36" t="n">
        <f>0</f>
        <v>0.0</v>
      </c>
      <c r="H21" s="21" t="n">
        <f>1620</f>
        <v>1620.0</v>
      </c>
      <c r="I21" s="36" t="n">
        <f>1620</f>
        <v>1620.0</v>
      </c>
      <c r="J21" s="21" t="n">
        <f>589275000</f>
        <v>5.89275E8</v>
      </c>
      <c r="K21" s="36" t="n">
        <f>589275000</f>
        <v>5.89275E8</v>
      </c>
      <c r="L21" s="21" t="n">
        <f>0</f>
        <v>0.0</v>
      </c>
      <c r="M21" s="36" t="n">
        <f>0</f>
        <v>0.0</v>
      </c>
      <c r="N21" s="21" t="n">
        <f>589275000</f>
        <v>5.89275E8</v>
      </c>
      <c r="O21" s="36" t="n">
        <f>589275000</f>
        <v>5.89275E8</v>
      </c>
    </row>
    <row r="22" spans="1:15" ht="24.9" customHeight="1">
      <c r="A22" s="38"/>
      <c r="B22" s="62"/>
      <c r="C22" s="20" t="s">
        <v>17</v>
      </c>
      <c r="D22" s="21" t="n">
        <f>200</f>
        <v>200.0</v>
      </c>
      <c r="E22" s="36" t="n">
        <f>150</f>
        <v>150.0</v>
      </c>
      <c r="F22" s="21" t="n">
        <f>150</f>
        <v>150.0</v>
      </c>
      <c r="G22" s="36" t="n">
        <f>150</f>
        <v>150.0</v>
      </c>
      <c r="H22" s="21" t="n">
        <f>350</f>
        <v>350.0</v>
      </c>
      <c r="I22" s="36" t="n">
        <f>300</f>
        <v>300.0</v>
      </c>
      <c r="J22" s="21" t="n">
        <f>184188000</f>
        <v>1.84188E8</v>
      </c>
      <c r="K22" s="36" t="n">
        <f>174750000</f>
        <v>1.7475E8</v>
      </c>
      <c r="L22" s="21" t="n">
        <f>181500000</f>
        <v>1.815E8</v>
      </c>
      <c r="M22" s="36" t="n">
        <f>181500000</f>
        <v>1.815E8</v>
      </c>
      <c r="N22" s="21" t="n">
        <f>365688000</f>
        <v>3.65688E8</v>
      </c>
      <c r="O22" s="36" t="n">
        <f>356250000</f>
        <v>3.5625E8</v>
      </c>
    </row>
    <row r="23" spans="1:15" ht="24.9" customHeight="1">
      <c r="A23" s="38"/>
      <c r="B23" s="62"/>
      <c r="C23" s="24" t="s">
        <v>18</v>
      </c>
      <c r="D23" s="25" t="n">
        <f>2055</f>
        <v>2055.0</v>
      </c>
      <c r="E23" s="37" t="n">
        <f>2005</f>
        <v>2005.0</v>
      </c>
      <c r="F23" s="25" t="n">
        <f>475</f>
        <v>475.0</v>
      </c>
      <c r="G23" s="37" t="n">
        <f>475</f>
        <v>475.0</v>
      </c>
      <c r="H23" s="25" t="n">
        <f>2530</f>
        <v>2530.0</v>
      </c>
      <c r="I23" s="37" t="n">
        <f>2480</f>
        <v>2480.0</v>
      </c>
      <c r="J23" s="25" t="n">
        <f>1281613000</f>
        <v>1.281613E9</v>
      </c>
      <c r="K23" s="37" t="n">
        <f>1272175000</f>
        <v>1.272175E9</v>
      </c>
      <c r="L23" s="25" t="n">
        <f>847247000</f>
        <v>8.47247E8</v>
      </c>
      <c r="M23" s="37" t="n">
        <f>847247000</f>
        <v>8.47247E8</v>
      </c>
      <c r="N23" s="25" t="n">
        <f>2128860000</f>
        <v>2.12886E9</v>
      </c>
      <c r="O23" s="37" t="n">
        <f>2119422000</f>
        <v>2.119422E9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6</f>
        <v>6.0</v>
      </c>
      <c r="G36" s="18" t="n">
        <f>0</f>
        <v>0.0</v>
      </c>
      <c r="H36" s="17" t="n">
        <f>6</f>
        <v>6.0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870000</f>
        <v>870000.0</v>
      </c>
      <c r="M36" s="18" t="n">
        <f>0</f>
        <v>0.0</v>
      </c>
      <c r="N36" s="17" t="n">
        <f>870000</f>
        <v>870000.0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73</f>
        <v>73.0</v>
      </c>
      <c r="E37" s="22" t="n">
        <f>0</f>
        <v>0.0</v>
      </c>
      <c r="F37" s="21" t="n">
        <f>376</f>
        <v>376.0</v>
      </c>
      <c r="G37" s="22" t="n">
        <f>303</f>
        <v>303.0</v>
      </c>
      <c r="H37" s="21" t="n">
        <f>449</f>
        <v>449.0</v>
      </c>
      <c r="I37" s="22" t="n">
        <f>303</f>
        <v>303.0</v>
      </c>
      <c r="J37" s="21" t="n">
        <f>43840000</f>
        <v>4.384E7</v>
      </c>
      <c r="K37" s="22" t="n">
        <f>0</f>
        <v>0.0</v>
      </c>
      <c r="L37" s="21" t="n">
        <f>18460000</f>
        <v>1.846E7</v>
      </c>
      <c r="M37" s="22" t="n">
        <f>3030000</f>
        <v>3030000.0</v>
      </c>
      <c r="N37" s="21" t="n">
        <f>62300000</f>
        <v>6.23E7</v>
      </c>
      <c r="O37" s="22" t="n">
        <f>3030000</f>
        <v>3030000.0</v>
      </c>
    </row>
    <row r="38" spans="1:15" ht="24.9" customHeight="1">
      <c r="A38" s="38"/>
      <c r="B38" s="62"/>
      <c r="C38" s="20" t="s">
        <v>17</v>
      </c>
      <c r="D38" s="21" t="n">
        <f>206</f>
        <v>206.0</v>
      </c>
      <c r="E38" s="36" t="n">
        <f>35</f>
        <v>35.0</v>
      </c>
      <c r="F38" s="21" t="n">
        <f>53</f>
        <v>53.0</v>
      </c>
      <c r="G38" s="36" t="n">
        <f>0</f>
        <v>0.0</v>
      </c>
      <c r="H38" s="21" t="n">
        <f>259</f>
        <v>259.0</v>
      </c>
      <c r="I38" s="36" t="n">
        <f>35</f>
        <v>35.0</v>
      </c>
      <c r="J38" s="21" t="n">
        <f>20060000</f>
        <v>2.006E7</v>
      </c>
      <c r="K38" s="36" t="n">
        <f>3450000</f>
        <v>3450000.0</v>
      </c>
      <c r="L38" s="21" t="n">
        <f>27210000</f>
        <v>2.721E7</v>
      </c>
      <c r="M38" s="36" t="n">
        <f>0</f>
        <v>0.0</v>
      </c>
      <c r="N38" s="21" t="n">
        <f>47270000</f>
        <v>4.727E7</v>
      </c>
      <c r="O38" s="36" t="n">
        <f>3450000</f>
        <v>3450000.0</v>
      </c>
    </row>
    <row r="39" spans="1:15" ht="24.9" customHeight="1">
      <c r="A39" s="38"/>
      <c r="B39" s="62"/>
      <c r="C39" s="24" t="s">
        <v>18</v>
      </c>
      <c r="D39" s="25" t="n">
        <f>279</f>
        <v>279.0</v>
      </c>
      <c r="E39" s="37" t="n">
        <f>35</f>
        <v>35.0</v>
      </c>
      <c r="F39" s="25" t="n">
        <f>435</f>
        <v>435.0</v>
      </c>
      <c r="G39" s="37" t="n">
        <f>303</f>
        <v>303.0</v>
      </c>
      <c r="H39" s="25" t="n">
        <f>714</f>
        <v>714.0</v>
      </c>
      <c r="I39" s="37" t="n">
        <f>338</f>
        <v>338.0</v>
      </c>
      <c r="J39" s="25" t="n">
        <f>63900000</f>
        <v>6.39E7</v>
      </c>
      <c r="K39" s="37" t="n">
        <f>3450000</f>
        <v>3450000.0</v>
      </c>
      <c r="L39" s="25" t="n">
        <f>46540000</f>
        <v>4.654E7</v>
      </c>
      <c r="M39" s="37" t="n">
        <f>3030000</f>
        <v>3030000.0</v>
      </c>
      <c r="N39" s="25" t="n">
        <f>110440000</f>
        <v>1.1044E8</v>
      </c>
      <c r="O39" s="37" t="n">
        <f>6480000</f>
        <v>6480000.0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3441</f>
        <v>3441.0</v>
      </c>
      <c r="E41" s="36" t="n">
        <f>0</f>
        <v>0.0</v>
      </c>
      <c r="F41" s="21" t="n">
        <f>10225</f>
        <v>10225.0</v>
      </c>
      <c r="G41" s="36" t="n">
        <f>0</f>
        <v>0.0</v>
      </c>
      <c r="H41" s="21" t="n">
        <f>13666</f>
        <v>13666.0</v>
      </c>
      <c r="I41" s="36" t="n">
        <f>0</f>
        <v>0.0</v>
      </c>
      <c r="J41" s="21" t="n">
        <f>7636315</f>
        <v>7636315.0</v>
      </c>
      <c r="K41" s="36" t="n">
        <f>0</f>
        <v>0.0</v>
      </c>
      <c r="L41" s="21" t="n">
        <f>31117333</f>
        <v>3.1117333E7</v>
      </c>
      <c r="M41" s="36" t="n">
        <f>0</f>
        <v>0.0</v>
      </c>
      <c r="N41" s="21" t="n">
        <f>38753648</f>
        <v>3.8753648E7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777</f>
        <v>777.0</v>
      </c>
      <c r="E42" s="36" t="n">
        <f>0</f>
        <v>0.0</v>
      </c>
      <c r="F42" s="21" t="n">
        <f>6041</f>
        <v>6041.0</v>
      </c>
      <c r="G42" s="36" t="n">
        <f>1650</f>
        <v>1650.0</v>
      </c>
      <c r="H42" s="21" t="n">
        <f>6818</f>
        <v>6818.0</v>
      </c>
      <c r="I42" s="36" t="n">
        <f>1650</f>
        <v>1650.0</v>
      </c>
      <c r="J42" s="21" t="n">
        <f>11475430</f>
        <v>1.147543E7</v>
      </c>
      <c r="K42" s="36" t="n">
        <f>0</f>
        <v>0.0</v>
      </c>
      <c r="L42" s="21" t="n">
        <f>64676296</f>
        <v>6.4676296E7</v>
      </c>
      <c r="M42" s="36" t="n">
        <f>53267000</f>
        <v>5.3267E7</v>
      </c>
      <c r="N42" s="21" t="n">
        <f>76151726</f>
        <v>7.6151726E7</v>
      </c>
      <c r="O42" s="36" t="n">
        <f>53267000</f>
        <v>5.3267E7</v>
      </c>
    </row>
    <row r="43" spans="1:15" ht="24.9" customHeight="1">
      <c r="A43" s="38"/>
      <c r="B43" s="62"/>
      <c r="C43" s="24" t="s">
        <v>18</v>
      </c>
      <c r="D43" s="25" t="n">
        <f>4218</f>
        <v>4218.0</v>
      </c>
      <c r="E43" s="37" t="n">
        <f>0</f>
        <v>0.0</v>
      </c>
      <c r="F43" s="25" t="n">
        <f>16266</f>
        <v>16266.0</v>
      </c>
      <c r="G43" s="37" t="n">
        <f>1650</f>
        <v>1650.0</v>
      </c>
      <c r="H43" s="25" t="n">
        <f>20484</f>
        <v>20484.0</v>
      </c>
      <c r="I43" s="37" t="n">
        <f>1650</f>
        <v>1650.0</v>
      </c>
      <c r="J43" s="25" t="n">
        <f>19111745</f>
        <v>1.9111745E7</v>
      </c>
      <c r="K43" s="37" t="n">
        <f>0</f>
        <v>0.0</v>
      </c>
      <c r="L43" s="25" t="n">
        <f>95793629</f>
        <v>9.5793629E7</v>
      </c>
      <c r="M43" s="37" t="n">
        <f>53267000</f>
        <v>5.3267E7</v>
      </c>
      <c r="N43" s="25" t="n">
        <f>114905374</f>
        <v>1.14905374E8</v>
      </c>
      <c r="O43" s="37" t="n">
        <f>53267000</f>
        <v>5.3267E7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