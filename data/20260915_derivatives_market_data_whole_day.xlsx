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<sst xmlns="http://schemas.openxmlformats.org/spreadsheetml/2006/main" count="528" uniqueCount="129">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</sst>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DATE(2026,09,15)</f>
        <v>46280.0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DATE(2026,09,15)</f>
        <v>46280.0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801412.0</f>
        <v>801412.0</v>
      </c>
      <c r="E12" s="18" t="n">
        <f>41462.0</f>
        <v>41462.0</v>
      </c>
      <c r="F12" s="19" t="n">
        <f>1.0</f>
        <v>1.0</v>
      </c>
      <c r="G12" s="17" t="n">
        <f>5168992220990.0</f>
        <v>5.16899222099E12</v>
      </c>
      <c r="H12" s="18" t="n">
        <f>366312417880.0</f>
        <v>3.6631241788E11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408263.0</f>
        <v>408263.0</v>
      </c>
      <c r="E13" s="22" t="n">
        <f>19992.0</f>
        <v>19992.0</v>
      </c>
      <c r="F13" s="23" t="n">
        <f>1.0</f>
        <v>1.0</v>
      </c>
      <c r="G13" s="21" t="n">
        <f>3744062118920.0</f>
        <v>3.74406211892E12</v>
      </c>
      <c r="H13" s="22" t="n">
        <f>392642604670.0</f>
        <v>3.9264260467E11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463209.0</f>
        <v>463209.0</v>
      </c>
      <c r="E14" s="22" t="n">
        <f>30766.0</f>
        <v>30766.0</v>
      </c>
      <c r="F14" s="23" t="n">
        <f>1.0</f>
        <v>1.0</v>
      </c>
      <c r="G14" s="21" t="n">
        <f>5842930010660.0</f>
        <v>5.84293001066E12</v>
      </c>
      <c r="H14" s="22" t="n">
        <f>725452667360.0</f>
        <v>7.2545266736E11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1672884.0</f>
        <v>1672884.0</v>
      </c>
      <c r="E15" s="26" t="n">
        <f>92220.0</f>
        <v>92220.0</v>
      </c>
      <c r="F15" s="27" t="n">
        <f>1.0</f>
        <v>1.0</v>
      </c>
      <c r="G15" s="25" t="n">
        <f>14755984350570.0</f>
        <v>1.475598435057E13</v>
      </c>
      <c r="H15" s="26" t="n">
        <f>1484407689910.0</f>
        <v>1.48440768991E12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11993.0</f>
        <v>11993.0</v>
      </c>
      <c r="E16" s="18" t="n">
        <f>319.0</f>
        <v>319.0</v>
      </c>
      <c r="F16" s="19" t="n">
        <f>0.015</f>
        <v>0.015</v>
      </c>
      <c r="G16" s="17" t="n">
        <f>1452514950000.0</f>
        <v>1.45251495E12</v>
      </c>
      <c r="H16" s="18" t="n">
        <f>39908870000.0</f>
        <v>3.990887E10</v>
      </c>
      <c r="I16" s="19" t="n">
        <f>0.281</f>
        <v>0.281</v>
      </c>
    </row>
    <row r="17" spans="1:9" ht="24.9" customHeight="1">
      <c r="A17" s="41"/>
      <c r="B17" s="39"/>
      <c r="C17" s="20" t="s">
        <v>16</v>
      </c>
      <c r="D17" s="21" t="n">
        <f>14205.0</f>
        <v>14205.0</v>
      </c>
      <c r="E17" s="22" t="n">
        <f>1973.0</f>
        <v>1973.0</v>
      </c>
      <c r="F17" s="23" t="n">
        <f>0.035</f>
        <v>0.035</v>
      </c>
      <c r="G17" s="21" t="n">
        <f>1533374288500.0</f>
        <v>1.5333742885E12</v>
      </c>
      <c r="H17" s="22" t="n">
        <f>246659835000.0</f>
        <v>2.46659835E11</v>
      </c>
      <c r="I17" s="23" t="n">
        <f>0.41</f>
        <v>0.41</v>
      </c>
    </row>
    <row r="18" spans="1:9" ht="24.9" customHeight="1">
      <c r="A18" s="41"/>
      <c r="B18" s="39"/>
      <c r="C18" s="20" t="s">
        <v>17</v>
      </c>
      <c r="D18" s="21" t="n">
        <f>24244.0</f>
        <v>24244.0</v>
      </c>
      <c r="E18" s="22" t="n">
        <f>1665.0</f>
        <v>1665.0</v>
      </c>
      <c r="F18" s="23" t="n">
        <f>0.052</f>
        <v>0.052</v>
      </c>
      <c r="G18" s="21" t="n">
        <f>2644977131000.0</f>
        <v>2.644977131E12</v>
      </c>
      <c r="H18" s="22" t="n">
        <f>167313805000.0</f>
        <v>1.67313805E11</v>
      </c>
      <c r="I18" s="23" t="n">
        <f>0.453</f>
        <v>0.453</v>
      </c>
    </row>
    <row r="19" spans="1:9" ht="24.9" customHeight="1">
      <c r="A19" s="41"/>
      <c r="B19" s="39"/>
      <c r="C19" s="24" t="s">
        <v>18</v>
      </c>
      <c r="D19" s="25" t="n">
        <f>50442.0</f>
        <v>50442.0</v>
      </c>
      <c r="E19" s="26" t="n">
        <f>3957.0</f>
        <v>3957.0</v>
      </c>
      <c r="F19" s="27" t="n">
        <f>0.03</f>
        <v>0.03</v>
      </c>
      <c r="G19" s="25" t="n">
        <f>5630866369500.0</f>
        <v>5.6308663695E12</v>
      </c>
      <c r="H19" s="26" t="n">
        <f>453882510000.0</f>
        <v>4.5388251E11</v>
      </c>
      <c r="I19" s="27" t="n">
        <f>0.382</f>
        <v>0.382</v>
      </c>
    </row>
    <row r="20" spans="1:9" ht="24.9" customHeight="1">
      <c r="A20" s="41"/>
      <c r="B20" s="39" t="s">
        <v>21</v>
      </c>
      <c r="C20" s="16" t="s">
        <v>15</v>
      </c>
      <c r="D20" s="17" t="n">
        <f>774570.0</f>
        <v>774570.0</v>
      </c>
      <c r="E20" s="18" t="n">
        <f>41143.0</f>
        <v>41143.0</v>
      </c>
      <c r="F20" s="19" t="n">
        <f>0.967</f>
        <v>0.967</v>
      </c>
      <c r="G20" s="17" t="n">
        <f>3581310425480.0</f>
        <v>3.58131042548E12</v>
      </c>
      <c r="H20" s="18" t="n">
        <f>326403547880.0</f>
        <v>3.2640354788E11</v>
      </c>
      <c r="I20" s="19" t="n">
        <f>0.693</f>
        <v>0.693</v>
      </c>
    </row>
    <row r="21" spans="1:9" ht="24.9" customHeight="1">
      <c r="A21" s="41"/>
      <c r="B21" s="39"/>
      <c r="C21" s="20" t="s">
        <v>16</v>
      </c>
      <c r="D21" s="21" t="n">
        <f>388705.0</f>
        <v>388705.0</v>
      </c>
      <c r="E21" s="22" t="n">
        <f>18019.0</f>
        <v>18019.0</v>
      </c>
      <c r="F21" s="23" t="n">
        <f>0.952</f>
        <v>0.952</v>
      </c>
      <c r="G21" s="21" t="n">
        <f>2165401851920.0</f>
        <v>2.16540185192E12</v>
      </c>
      <c r="H21" s="22" t="n">
        <f>145982769670.0</f>
        <v>1.4598276967E11</v>
      </c>
      <c r="I21" s="23" t="n">
        <f>0.578</f>
        <v>0.578</v>
      </c>
    </row>
    <row r="22" spans="1:9" ht="24.9" customHeight="1">
      <c r="A22" s="41"/>
      <c r="B22" s="39"/>
      <c r="C22" s="20" t="s">
        <v>17</v>
      </c>
      <c r="D22" s="21" t="n">
        <f>429643.0</f>
        <v>429643.0</v>
      </c>
      <c r="E22" s="22" t="n">
        <f>29080.0</f>
        <v>29080.0</v>
      </c>
      <c r="F22" s="23" t="n">
        <f>0.928</f>
        <v>0.928</v>
      </c>
      <c r="G22" s="21" t="n">
        <f>3116637171700.0</f>
        <v>3.1166371717E12</v>
      </c>
      <c r="H22" s="22" t="n">
        <f>558114419600.0</f>
        <v>5.581144196E11</v>
      </c>
      <c r="I22" s="23" t="n">
        <f>0.533</f>
        <v>0.533</v>
      </c>
    </row>
    <row r="23" spans="1:9" ht="24.9" customHeight="1">
      <c r="A23" s="41"/>
      <c r="B23" s="39"/>
      <c r="C23" s="24" t="s">
        <v>18</v>
      </c>
      <c r="D23" s="25" t="n">
        <f>1592918.0</f>
        <v>1592918.0</v>
      </c>
      <c r="E23" s="26" t="n">
        <f>88242.0</f>
        <v>88242.0</v>
      </c>
      <c r="F23" s="27" t="n">
        <f>0.952</f>
        <v>0.952</v>
      </c>
      <c r="G23" s="25" t="n">
        <f>8863349449100.0</f>
        <v>8.8633494491E12</v>
      </c>
      <c r="H23" s="26" t="n">
        <f>1030500737150.0</f>
        <v>1.03050073715E12</v>
      </c>
      <c r="I23" s="27" t="n">
        <f>0.601</f>
        <v>0.601</v>
      </c>
    </row>
    <row r="24" spans="1:9" ht="24.9" customHeight="1">
      <c r="A24" s="41"/>
      <c r="B24" s="39" t="s">
        <v>22</v>
      </c>
      <c r="C24" s="16" t="s">
        <v>15</v>
      </c>
      <c r="D24" s="17" t="n">
        <f>14581.0</f>
        <v>14581.0</v>
      </c>
      <c r="E24" s="18" t="n">
        <f>0.0</f>
        <v>0.0</v>
      </c>
      <c r="F24" s="19" t="n">
        <f>0.018</f>
        <v>0.018</v>
      </c>
      <c r="G24" s="17" t="n">
        <f>134051550050.0</f>
        <v>1.3405155005E11</v>
      </c>
      <c r="H24" s="18" t="n">
        <f>0.0</f>
        <v>0.0</v>
      </c>
      <c r="I24" s="19" t="n">
        <f>0.026</f>
        <v>0.026</v>
      </c>
    </row>
    <row r="25" spans="1:9" ht="24.9" customHeight="1">
      <c r="A25" s="41"/>
      <c r="B25" s="39"/>
      <c r="C25" s="20" t="s">
        <v>16</v>
      </c>
      <c r="D25" s="21" t="n">
        <f>5174.0</f>
        <v>5174.0</v>
      </c>
      <c r="E25" s="22" t="n">
        <f>0.0</f>
        <v>0.0</v>
      </c>
      <c r="F25" s="23" t="n">
        <f>0.013</f>
        <v>0.013</v>
      </c>
      <c r="G25" s="21" t="n">
        <f>44527297500.0</f>
        <v>4.45272975E10</v>
      </c>
      <c r="H25" s="22" t="n">
        <f>0.0</f>
        <v>0.0</v>
      </c>
      <c r="I25" s="23" t="n">
        <f>0.012</f>
        <v>0.012</v>
      </c>
    </row>
    <row r="26" spans="1:9" ht="24.9" customHeight="1">
      <c r="A26" s="41"/>
      <c r="B26" s="39"/>
      <c r="C26" s="20" t="s">
        <v>17</v>
      </c>
      <c r="D26" s="21" t="n">
        <f>7607.0</f>
        <v>7607.0</v>
      </c>
      <c r="E26" s="22" t="n">
        <f>1.0</f>
        <v>1.0</v>
      </c>
      <c r="F26" s="23" t="n">
        <f>0.016</f>
        <v>0.016</v>
      </c>
      <c r="G26" s="21" t="n">
        <f>74054861200.0</f>
        <v>7.40548612E10</v>
      </c>
      <c r="H26" s="22" t="n">
        <f>4320000.0</f>
        <v>4320000.0</v>
      </c>
      <c r="I26" s="23" t="n">
        <f>0.013</f>
        <v>0.013</v>
      </c>
    </row>
    <row r="27" spans="1:9" ht="24.9" customHeight="1">
      <c r="A27" s="42"/>
      <c r="B27" s="39"/>
      <c r="C27" s="24" t="s">
        <v>18</v>
      </c>
      <c r="D27" s="25" t="n">
        <f>27362.0</f>
        <v>27362.0</v>
      </c>
      <c r="E27" s="26" t="n">
        <f>1.0</f>
        <v>1.0</v>
      </c>
      <c r="F27" s="27" t="n">
        <f>0.016</f>
        <v>0.016</v>
      </c>
      <c r="G27" s="25" t="n">
        <f>252633708750.0</f>
        <v>2.5263370875E11</v>
      </c>
      <c r="H27" s="26" t="n">
        <f>4320000.0</f>
        <v>4320000.0</v>
      </c>
      <c r="I27" s="27" t="n">
        <f>0.017</f>
        <v>0.017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268.0</f>
        <v>268.0</v>
      </c>
      <c r="E28" s="18" t="n">
        <f>0.0</f>
        <v>0.0</v>
      </c>
      <c r="F28" s="19" t="n">
        <f>0.0</f>
        <v>0.0</v>
      </c>
      <c r="G28" s="17" t="n">
        <f>1115295460.0</f>
        <v>1.11529546E9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179.0</f>
        <v>179.0</v>
      </c>
      <c r="E29" s="22" t="n">
        <f>0.0</f>
        <v>0.0</v>
      </c>
      <c r="F29" s="23" t="n">
        <f>0.0</f>
        <v>0.0</v>
      </c>
      <c r="G29" s="21" t="n">
        <f>758681000.0</f>
        <v>7.58681E8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1715.0</f>
        <v>1715.0</v>
      </c>
      <c r="E30" s="22" t="n">
        <f>20.0</f>
        <v>20.0</v>
      </c>
      <c r="F30" s="23" t="n">
        <f>0.004</f>
        <v>0.004</v>
      </c>
      <c r="G30" s="21" t="n">
        <f>7260846760.0</f>
        <v>7.26084676E9</v>
      </c>
      <c r="H30" s="22" t="n">
        <f>20122760.0</f>
        <v>2.012276E7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2162.0</f>
        <v>2162.0</v>
      </c>
      <c r="E31" s="26" t="n">
        <f>20.0</f>
        <v>20.0</v>
      </c>
      <c r="F31" s="27" t="n">
        <f>0.001</f>
        <v>0.001</v>
      </c>
      <c r="G31" s="25" t="n">
        <f>9134823220.0</f>
        <v>9.13482322E9</v>
      </c>
      <c r="H31" s="26" t="n">
        <f>20122760.0</f>
        <v>2.012276E7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46280.0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46280.0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21054</f>
        <v>21054.0</v>
      </c>
      <c r="E11" s="18" t="n">
        <f>4476</f>
        <v>4476.0</v>
      </c>
      <c r="F11" s="19" t="n">
        <f>1</f>
        <v>1.0</v>
      </c>
      <c r="G11" s="17" t="n">
        <f>3303888240</f>
        <v>3.30388824E9</v>
      </c>
      <c r="H11" s="18" t="n">
        <f>1387105640</f>
        <v>1.38710564E9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17572</f>
        <v>17572.0</v>
      </c>
      <c r="E12" s="22" t="n">
        <f>2792</f>
        <v>2792.0</v>
      </c>
      <c r="F12" s="23" t="n">
        <f>1</f>
        <v>1.0</v>
      </c>
      <c r="G12" s="21" t="n">
        <f>3626258569</f>
        <v>3.626258569E9</v>
      </c>
      <c r="H12" s="22" t="n">
        <f>2218680980</f>
        <v>2.21868098E9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39748</f>
        <v>39748.0</v>
      </c>
      <c r="E13" s="22" t="n">
        <f>18409</f>
        <v>18409.0</v>
      </c>
      <c r="F13" s="23" t="n">
        <f>1</f>
        <v>1.0</v>
      </c>
      <c r="G13" s="21" t="n">
        <f>16432382644</f>
        <v>1.6432382644E10</v>
      </c>
      <c r="H13" s="22" t="n">
        <f>14627451759</f>
        <v>1.4627451759E10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78374</f>
        <v>78374.0</v>
      </c>
      <c r="E14" s="26" t="n">
        <f>25677</f>
        <v>25677.0</v>
      </c>
      <c r="F14" s="27" t="n">
        <f>1</f>
        <v>1.0</v>
      </c>
      <c r="G14" s="25" t="n">
        <f>23362529453</f>
        <v>2.3362529453E10</v>
      </c>
      <c r="H14" s="26" t="n">
        <f>18233238379</f>
        <v>1.8233238379E10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20</f>
        <v>20.0</v>
      </c>
      <c r="E15" s="18" t="n">
        <f>0</f>
        <v>0.0</v>
      </c>
      <c r="F15" s="19" t="n">
        <f>0.001</f>
        <v>0.001</v>
      </c>
      <c r="G15" s="17" t="n">
        <f>2000000</f>
        <v>2000000.0</v>
      </c>
      <c r="H15" s="18" t="n">
        <f>0</f>
        <v>0.0</v>
      </c>
      <c r="I15" s="19" t="n">
        <f>0.001</f>
        <v>0.001</v>
      </c>
    </row>
    <row r="16" spans="1:9" ht="24.9" customHeight="1">
      <c r="A16" s="41"/>
      <c r="B16" s="39"/>
      <c r="C16" s="20" t="s">
        <v>16</v>
      </c>
      <c r="D16" s="21" t="n">
        <f>109</f>
        <v>109.0</v>
      </c>
      <c r="E16" s="22" t="n">
        <f>0</f>
        <v>0.0</v>
      </c>
      <c r="F16" s="23" t="n">
        <f>0.006</f>
        <v>0.006</v>
      </c>
      <c r="G16" s="21" t="n">
        <f>16400000</f>
        <v>1.64E7</v>
      </c>
      <c r="H16" s="22" t="n">
        <f>0</f>
        <v>0.0</v>
      </c>
      <c r="I16" s="23" t="n">
        <f>0.005</f>
        <v>0.005</v>
      </c>
    </row>
    <row r="17" spans="1:9" ht="24.9" customHeight="1">
      <c r="A17" s="41"/>
      <c r="B17" s="39"/>
      <c r="C17" s="20" t="s">
        <v>17</v>
      </c>
      <c r="D17" s="21" t="n">
        <f>73</f>
        <v>73.0</v>
      </c>
      <c r="E17" s="22" t="n">
        <f>0</f>
        <v>0.0</v>
      </c>
      <c r="F17" s="23" t="n">
        <f>0.002</f>
        <v>0.002</v>
      </c>
      <c r="G17" s="21" t="n">
        <f>10260000</f>
        <v>1.026E7</v>
      </c>
      <c r="H17" s="22" t="n">
        <f>0</f>
        <v>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202</f>
        <v>202.0</v>
      </c>
      <c r="E18" s="26" t="n">
        <f>0</f>
        <v>0.0</v>
      </c>
      <c r="F18" s="27" t="n">
        <f>0.003</f>
        <v>0.003</v>
      </c>
      <c r="G18" s="25" t="n">
        <f>28660000</f>
        <v>2.866E7</v>
      </c>
      <c r="H18" s="26" t="n">
        <f>0</f>
        <v>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21034</f>
        <v>21034.0</v>
      </c>
      <c r="E19" s="18" t="n">
        <f>4476</f>
        <v>4476.0</v>
      </c>
      <c r="F19" s="19" t="n">
        <f>0.999</f>
        <v>0.999</v>
      </c>
      <c r="G19" s="17" t="n">
        <f>3301888240</f>
        <v>3.30188824E9</v>
      </c>
      <c r="H19" s="18" t="n">
        <f>1387105640</f>
        <v>1.38710564E9</v>
      </c>
      <c r="I19" s="19" t="n">
        <f>0.999</f>
        <v>0.999</v>
      </c>
    </row>
    <row r="20" spans="1:9" ht="24.9" customHeight="1">
      <c r="A20" s="41"/>
      <c r="B20" s="39"/>
      <c r="C20" s="20" t="s">
        <v>16</v>
      </c>
      <c r="D20" s="21" t="n">
        <f>16864</f>
        <v>16864.0</v>
      </c>
      <c r="E20" s="22" t="n">
        <f>2792</f>
        <v>2792.0</v>
      </c>
      <c r="F20" s="23" t="n">
        <f>0.96</f>
        <v>0.96</v>
      </c>
      <c r="G20" s="21" t="n">
        <f>3604457780</f>
        <v>3.60445778E9</v>
      </c>
      <c r="H20" s="22" t="n">
        <f>2218680980</f>
        <v>2.21868098E9</v>
      </c>
      <c r="I20" s="23" t="n">
        <f>0.994</f>
        <v>0.994</v>
      </c>
    </row>
    <row r="21" spans="1:9" ht="24.9" customHeight="1">
      <c r="A21" s="41"/>
      <c r="B21" s="39"/>
      <c r="C21" s="20" t="s">
        <v>17</v>
      </c>
      <c r="D21" s="21" t="n">
        <f>33592</f>
        <v>33592.0</v>
      </c>
      <c r="E21" s="22" t="n">
        <f>17351</f>
        <v>17351.0</v>
      </c>
      <c r="F21" s="23" t="n">
        <f>0.845</f>
        <v>0.845</v>
      </c>
      <c r="G21" s="21" t="n">
        <f>16357888959</f>
        <v>1.6357888959E10</v>
      </c>
      <c r="H21" s="22" t="n">
        <f>14572197359</f>
        <v>1.4572197359E10</v>
      </c>
      <c r="I21" s="23" t="n">
        <f>0.995</f>
        <v>0.995</v>
      </c>
    </row>
    <row r="22" spans="1:9" ht="24.9" customHeight="1">
      <c r="A22" s="41"/>
      <c r="B22" s="39"/>
      <c r="C22" s="24" t="s">
        <v>18</v>
      </c>
      <c r="D22" s="25" t="n">
        <f>71490</f>
        <v>71490.0</v>
      </c>
      <c r="E22" s="26" t="n">
        <f>24619</f>
        <v>24619.0</v>
      </c>
      <c r="F22" s="27" t="n">
        <f>0.912</f>
        <v>0.912</v>
      </c>
      <c r="G22" s="25" t="n">
        <f>23264234979</f>
        <v>2.3264234979E10</v>
      </c>
      <c r="H22" s="26" t="n">
        <f>18177983979</f>
        <v>1.8177983979E10</v>
      </c>
      <c r="I22" s="27" t="n">
        <f>0.996</f>
        <v>0.996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599</f>
        <v>599.0</v>
      </c>
      <c r="E24" s="22" t="n">
        <f>0</f>
        <v>0.0</v>
      </c>
      <c r="F24" s="23" t="n">
        <f>0.034</f>
        <v>0.034</v>
      </c>
      <c r="G24" s="21" t="n">
        <f>5400789</f>
        <v>5400789.0</v>
      </c>
      <c r="H24" s="22" t="n">
        <f>0</f>
        <v>0.0</v>
      </c>
      <c r="I24" s="23" t="n">
        <f>0.001</f>
        <v>0.001</v>
      </c>
    </row>
    <row r="25" spans="1:9" ht="24.9" customHeight="1">
      <c r="A25" s="41"/>
      <c r="B25" s="39"/>
      <c r="C25" s="20" t="s">
        <v>17</v>
      </c>
      <c r="D25" s="21" t="n">
        <f>6083</f>
        <v>6083.0</v>
      </c>
      <c r="E25" s="22" t="n">
        <f>1058</f>
        <v>1058.0</v>
      </c>
      <c r="F25" s="23" t="n">
        <f>0.153</f>
        <v>0.153</v>
      </c>
      <c r="G25" s="21" t="n">
        <f>64233685</f>
        <v>6.4233685E7</v>
      </c>
      <c r="H25" s="22" t="n">
        <f>55254400</f>
        <v>5.52544E7</v>
      </c>
      <c r="I25" s="23" t="n">
        <f>0.004</f>
        <v>0.004</v>
      </c>
    </row>
    <row r="26" spans="1:9" ht="24.9" customHeight="1">
      <c r="A26" s="41"/>
      <c r="B26" s="39"/>
      <c r="C26" s="24" t="s">
        <v>18</v>
      </c>
      <c r="D26" s="25" t="n">
        <f>6682</f>
        <v>6682.0</v>
      </c>
      <c r="E26" s="26" t="n">
        <f>1058</f>
        <v>1058.0</v>
      </c>
      <c r="F26" s="27" t="n">
        <f>0.085</f>
        <v>0.085</v>
      </c>
      <c r="G26" s="25" t="n">
        <f>69634474</f>
        <v>6.9634474E7</v>
      </c>
      <c r="H26" s="26" t="n">
        <f>55254400</f>
        <v>5.52544E7</v>
      </c>
      <c r="I26" s="27" t="n">
        <f>0.003</f>
        <v>0.003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46280.0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46280.0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11267.0</v>
      </c>
      <c r="F12" s="18" t="n">
        <f>1106</f>
        <v>1106.0</v>
      </c>
      <c r="G12" s="17" t="n">
        <v>7.1061672249E11</v>
      </c>
      <c r="H12" s="18" t="n">
        <f>69844912490</f>
        <v>6.984491249E10</v>
      </c>
    </row>
    <row r="13" spans="1:8" ht="24.9" customHeight="1">
      <c r="A13" s="51"/>
      <c r="B13" s="57"/>
      <c r="C13" s="39"/>
      <c r="D13" s="20" t="s">
        <v>16</v>
      </c>
      <c r="E13" s="21" t="n">
        <v>7421.0</v>
      </c>
      <c r="F13" s="22" t="n">
        <f>473</f>
        <v>473.0</v>
      </c>
      <c r="G13" s="21" t="n">
        <v>4.702889147E11</v>
      </c>
      <c r="H13" s="22" t="n">
        <f>29983274700</f>
        <v>2.99832747E10</v>
      </c>
    </row>
    <row r="14" spans="1:8" ht="24.9" customHeight="1">
      <c r="A14" s="51"/>
      <c r="B14" s="57"/>
      <c r="C14" s="39"/>
      <c r="D14" s="20" t="s">
        <v>17</v>
      </c>
      <c r="E14" s="21" t="n">
        <v>13354.0</v>
      </c>
      <c r="F14" s="22" t="n">
        <f>3228</f>
        <v>3228.0</v>
      </c>
      <c r="G14" s="21" t="n">
        <v>8.471649677E11</v>
      </c>
      <c r="H14" s="22" t="n">
        <f>204949277700</f>
        <v>2.049492777E11</v>
      </c>
    </row>
    <row r="15" spans="1:8" ht="24.9" customHeight="1">
      <c r="A15" s="51"/>
      <c r="B15" s="57"/>
      <c r="C15" s="39"/>
      <c r="D15" s="24" t="s">
        <v>18</v>
      </c>
      <c r="E15" s="25" t="n">
        <v>32042.0</v>
      </c>
      <c r="F15" s="26" t="n">
        <f>4807</f>
        <v>4807.0</v>
      </c>
      <c r="G15" s="25" t="n">
        <v>2.02807060489E12</v>
      </c>
      <c r="H15" s="26" t="n">
        <f>304777464890</f>
        <v>3.0477746489E11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302968.0</v>
      </c>
      <c r="F16" s="18" t="n">
        <f>38090</f>
        <v>38090.0</v>
      </c>
      <c r="G16" s="17" t="n">
        <v>1.91093219739E12</v>
      </c>
      <c r="H16" s="18" t="n">
        <f>240182605890</f>
        <v>2.4018260589E11</v>
      </c>
    </row>
    <row r="17" spans="1:8" ht="24.9" customHeight="1">
      <c r="A17" s="51"/>
      <c r="B17" s="57"/>
      <c r="C17" s="39"/>
      <c r="D17" s="20" t="s">
        <v>16</v>
      </c>
      <c r="E17" s="21" t="n">
        <v>154094.0</v>
      </c>
      <c r="F17" s="22" t="n">
        <f>17058</f>
        <v>17058.0</v>
      </c>
      <c r="G17" s="21" t="n">
        <v>9.7609421721E11</v>
      </c>
      <c r="H17" s="22" t="n">
        <f>108127517210</f>
        <v>1.0812751721E11</v>
      </c>
    </row>
    <row r="18" spans="1:8" ht="24.9" customHeight="1">
      <c r="A18" s="51"/>
      <c r="B18" s="57"/>
      <c r="C18" s="39"/>
      <c r="D18" s="20" t="s">
        <v>17</v>
      </c>
      <c r="E18" s="21" t="n">
        <v>165119.0</v>
      </c>
      <c r="F18" s="22" t="n">
        <f>19645</f>
        <v>19645.0</v>
      </c>
      <c r="G18" s="21" t="n">
        <v>1.04765660064E12</v>
      </c>
      <c r="H18" s="22" t="n">
        <f>124606158140</f>
        <v>1.2460615814E11</v>
      </c>
    </row>
    <row r="19" spans="1:8" ht="24.9" customHeight="1">
      <c r="A19" s="51"/>
      <c r="B19" s="57"/>
      <c r="C19" s="39"/>
      <c r="D19" s="24" t="s">
        <v>18</v>
      </c>
      <c r="E19" s="25" t="n">
        <v>622181.0</v>
      </c>
      <c r="F19" s="26" t="n">
        <f>74793</f>
        <v>74793.0</v>
      </c>
      <c r="G19" s="25" t="n">
        <v>3.93468301524E12</v>
      </c>
      <c r="H19" s="26" t="n">
        <f>472916281240</f>
        <v>4.7291628124E11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434246.0</v>
      </c>
      <c r="F20" s="18" t="str">
        <f>"－"</f>
        <v>－</v>
      </c>
      <c r="G20" s="17" t="n">
        <v>2.7383188315E11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205567.0</v>
      </c>
      <c r="F21" s="22" t="str">
        <f>"－"</f>
        <v>－</v>
      </c>
      <c r="G21" s="21" t="n">
        <v>1.3024812885E11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216138.0</v>
      </c>
      <c r="F22" s="22" t="str">
        <f>"－"</f>
        <v>－</v>
      </c>
      <c r="G22" s="21" t="n">
        <v>1.371407974E11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855951.0</v>
      </c>
      <c r="F23" s="26" t="str">
        <f>"－"</f>
        <v>－</v>
      </c>
      <c r="G23" s="25" t="n">
        <v>5.412208094E11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16049.0</v>
      </c>
      <c r="F24" s="18" t="n">
        <f>246</f>
        <v>246.0</v>
      </c>
      <c r="G24" s="17" t="n">
        <v>6.4845803228E11</v>
      </c>
      <c r="H24" s="18" t="n">
        <f>9927237280</f>
        <v>9.92723728E9</v>
      </c>
    </row>
    <row r="25" spans="1:8" ht="24.9" customHeight="1">
      <c r="A25" s="51"/>
      <c r="B25" s="57"/>
      <c r="C25" s="39"/>
      <c r="D25" s="20" t="s">
        <v>16</v>
      </c>
      <c r="E25" s="21" t="n">
        <v>13914.0</v>
      </c>
      <c r="F25" s="22" t="n">
        <f>158</f>
        <v>158.0</v>
      </c>
      <c r="G25" s="21" t="n">
        <v>5.60437087E11</v>
      </c>
      <c r="H25" s="22" t="n">
        <f>6366517000</f>
        <v>6.366517E9</v>
      </c>
    </row>
    <row r="26" spans="1:8" ht="24.9" customHeight="1">
      <c r="A26" s="51"/>
      <c r="B26" s="57"/>
      <c r="C26" s="39"/>
      <c r="D26" s="20" t="s">
        <v>17</v>
      </c>
      <c r="E26" s="21" t="n">
        <v>26168.0</v>
      </c>
      <c r="F26" s="22" t="n">
        <f>5610</f>
        <v>5610.0</v>
      </c>
      <c r="G26" s="21" t="n">
        <v>1.05120472943E12</v>
      </c>
      <c r="H26" s="22" t="n">
        <f>225351934430</f>
        <v>2.2535193443E11</v>
      </c>
    </row>
    <row r="27" spans="1:8" ht="24.9" customHeight="1">
      <c r="A27" s="51"/>
      <c r="B27" s="57"/>
      <c r="C27" s="39"/>
      <c r="D27" s="24" t="s">
        <v>18</v>
      </c>
      <c r="E27" s="25" t="n">
        <v>56131.0</v>
      </c>
      <c r="F27" s="26" t="n">
        <f>6014</f>
        <v>6014.0</v>
      </c>
      <c r="G27" s="25" t="n">
        <v>2.26009984871E12</v>
      </c>
      <c r="H27" s="26" t="n">
        <f>241645688710</f>
        <v>2.4164568871E11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7507.0</v>
      </c>
      <c r="F28" s="18" t="n">
        <f>682</f>
        <v>682.0</v>
      </c>
      <c r="G28" s="17" t="n">
        <v>3.031634625E10</v>
      </c>
      <c r="H28" s="18" t="n">
        <f>2751981000</f>
        <v>2.751981E9</v>
      </c>
    </row>
    <row r="29" spans="1:8" ht="24.9" customHeight="1">
      <c r="A29" s="51"/>
      <c r="B29" s="57"/>
      <c r="C29" s="39"/>
      <c r="D29" s="20" t="s">
        <v>16</v>
      </c>
      <c r="E29" s="21" t="n">
        <v>5935.0</v>
      </c>
      <c r="F29" s="22" t="n">
        <f>233</f>
        <v>233.0</v>
      </c>
      <c r="G29" s="21" t="n">
        <v>2.39123048E10</v>
      </c>
      <c r="H29" s="22" t="n">
        <f>938505800</f>
        <v>9.385058E8</v>
      </c>
    </row>
    <row r="30" spans="1:8" ht="24.9" customHeight="1">
      <c r="A30" s="51"/>
      <c r="B30" s="57"/>
      <c r="C30" s="39"/>
      <c r="D30" s="20" t="s">
        <v>17</v>
      </c>
      <c r="E30" s="21" t="n">
        <v>6760.0</v>
      </c>
      <c r="F30" s="22" t="n">
        <f>298</f>
        <v>298.0</v>
      </c>
      <c r="G30" s="21" t="n">
        <v>2.715800253E10</v>
      </c>
      <c r="H30" s="22" t="n">
        <f>1196873530</f>
        <v>1.19687353E9</v>
      </c>
    </row>
    <row r="31" spans="1:8" ht="24.9" customHeight="1">
      <c r="A31" s="51"/>
      <c r="B31" s="57"/>
      <c r="C31" s="39"/>
      <c r="D31" s="24" t="s">
        <v>18</v>
      </c>
      <c r="E31" s="25" t="n">
        <v>20202.0</v>
      </c>
      <c r="F31" s="26" t="n">
        <f>1213</f>
        <v>1213.0</v>
      </c>
      <c r="G31" s="25" t="n">
        <v>8.138665358E10</v>
      </c>
      <c r="H31" s="26" t="n">
        <f>4887360330</f>
        <v>4.88736033E9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1494.0</v>
      </c>
      <c r="F36" s="18" t="n">
        <f>990</f>
        <v>990.0</v>
      </c>
      <c r="G36" s="17" t="n">
        <v>5.42048716E9</v>
      </c>
      <c r="H36" s="18" t="n">
        <f>3589476660</f>
        <v>3.58947666E9</v>
      </c>
    </row>
    <row r="37" spans="1:8" ht="24.9" customHeight="1">
      <c r="A37" s="51"/>
      <c r="B37" s="57"/>
      <c r="C37" s="39"/>
      <c r="D37" s="20" t="s">
        <v>16</v>
      </c>
      <c r="E37" s="21" t="n">
        <v>760.0</v>
      </c>
      <c r="F37" s="22" t="n">
        <f>15</f>
        <v>15.0</v>
      </c>
      <c r="G37" s="21" t="n">
        <v>2.74894546E9</v>
      </c>
      <c r="H37" s="22" t="n">
        <f>54228460</f>
        <v>5.422846E7</v>
      </c>
    </row>
    <row r="38" spans="1:8" ht="24.9" customHeight="1">
      <c r="A38" s="51"/>
      <c r="B38" s="57"/>
      <c r="C38" s="39"/>
      <c r="D38" s="20" t="s">
        <v>17</v>
      </c>
      <c r="E38" s="21" t="n">
        <v>544.0</v>
      </c>
      <c r="F38" s="22" t="n">
        <f>9</f>
        <v>9.0</v>
      </c>
      <c r="G38" s="21" t="n">
        <v>1.96100801E9</v>
      </c>
      <c r="H38" s="22" t="n">
        <f>32491510</f>
        <v>3.249151E7</v>
      </c>
    </row>
    <row r="39" spans="1:8" ht="24.9" customHeight="1">
      <c r="A39" s="51"/>
      <c r="B39" s="57"/>
      <c r="C39" s="39"/>
      <c r="D39" s="24" t="s">
        <v>18</v>
      </c>
      <c r="E39" s="25" t="n">
        <v>2798.0</v>
      </c>
      <c r="F39" s="26" t="n">
        <f>1014</f>
        <v>1014.0</v>
      </c>
      <c r="G39" s="25" t="n">
        <v>1.013044063E10</v>
      </c>
      <c r="H39" s="26" t="n">
        <f>3676196630</f>
        <v>3.67619663E9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62.0</v>
      </c>
      <c r="F45" s="22" t="n">
        <f>62</f>
        <v>62.0</v>
      </c>
      <c r="G45" s="21" t="n">
        <v>4.7492E8</v>
      </c>
      <c r="H45" s="22" t="n">
        <f>474920000</f>
        <v>4.7492E8</v>
      </c>
    </row>
    <row r="46" spans="1:8" ht="24.9" customHeight="1">
      <c r="A46" s="51"/>
      <c r="B46" s="57"/>
      <c r="C46" s="39"/>
      <c r="D46" s="20" t="s">
        <v>17</v>
      </c>
      <c r="E46" s="21" t="n">
        <v>253.0</v>
      </c>
      <c r="F46" s="22" t="n">
        <f>253</f>
        <v>253.0</v>
      </c>
      <c r="G46" s="21" t="n">
        <v>1.92964E9</v>
      </c>
      <c r="H46" s="22" t="n">
        <f>1929640000</f>
        <v>1.92964E9</v>
      </c>
    </row>
    <row r="47" spans="1:8" ht="24.9" customHeight="1">
      <c r="A47" s="51"/>
      <c r="B47" s="57"/>
      <c r="C47" s="39"/>
      <c r="D47" s="24" t="s">
        <v>18</v>
      </c>
      <c r="E47" s="25" t="n">
        <v>315.0</v>
      </c>
      <c r="F47" s="26" t="n">
        <f>315</f>
        <v>315.0</v>
      </c>
      <c r="G47" s="25" t="n">
        <v>2.40456E9</v>
      </c>
      <c r="H47" s="26" t="n">
        <f>2404560000</f>
        <v>2.40456E9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20.0</v>
      </c>
      <c r="F48" s="18" t="n">
        <f>0</f>
        <v>0.0</v>
      </c>
      <c r="G48" s="17" t="n">
        <v>3.49E7</v>
      </c>
      <c r="H48" s="18" t="n">
        <f>0</f>
        <v>0.0</v>
      </c>
    </row>
    <row r="49" spans="1:8" ht="24.9" customHeight="1">
      <c r="A49" s="51"/>
      <c r="B49" s="57"/>
      <c r="C49" s="39"/>
      <c r="D49" s="20" t="s">
        <v>16</v>
      </c>
      <c r="E49" s="21" t="n">
        <v>25.0</v>
      </c>
      <c r="F49" s="22" t="n">
        <f>0</f>
        <v>0.0</v>
      </c>
      <c r="G49" s="21" t="n">
        <v>4.35155E7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259.0</v>
      </c>
      <c r="F50" s="22" t="n">
        <f>20</f>
        <v>20.0</v>
      </c>
      <c r="G50" s="21" t="n">
        <v>4.5082031E8</v>
      </c>
      <c r="H50" s="22" t="n">
        <f>34866810</f>
        <v>3.486681E7</v>
      </c>
    </row>
    <row r="51" spans="1:8" ht="24.9" customHeight="1">
      <c r="A51" s="51"/>
      <c r="B51" s="57"/>
      <c r="C51" s="39"/>
      <c r="D51" s="24" t="s">
        <v>18</v>
      </c>
      <c r="E51" s="25" t="n">
        <v>304.0</v>
      </c>
      <c r="F51" s="26" t="n">
        <f>20</f>
        <v>20.0</v>
      </c>
      <c r="G51" s="25" t="n">
        <v>5.2923581E8</v>
      </c>
      <c r="H51" s="26" t="n">
        <f>34866810</f>
        <v>3.486681E7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471.0</v>
      </c>
      <c r="F56" s="18" t="n">
        <f>10</f>
        <v>10.0</v>
      </c>
      <c r="G56" s="17" t="n">
        <v>3.618799E8</v>
      </c>
      <c r="H56" s="18" t="n">
        <f>7724900</f>
        <v>7724900.0</v>
      </c>
    </row>
    <row r="57" spans="1:8" ht="24.9" customHeight="1">
      <c r="A57" s="51"/>
      <c r="B57" s="57"/>
      <c r="C57" s="39"/>
      <c r="D57" s="20" t="s">
        <v>16</v>
      </c>
      <c r="E57" s="21" t="n">
        <v>769.0</v>
      </c>
      <c r="F57" s="22" t="n">
        <f>15</f>
        <v>15.0</v>
      </c>
      <c r="G57" s="21" t="n">
        <v>5.91828E8</v>
      </c>
      <c r="H57" s="22" t="n">
        <f>11591000</f>
        <v>1.1591E7</v>
      </c>
    </row>
    <row r="58" spans="1:8" ht="24.9" customHeight="1">
      <c r="A58" s="51"/>
      <c r="B58" s="57"/>
      <c r="C58" s="39"/>
      <c r="D58" s="20" t="s">
        <v>17</v>
      </c>
      <c r="E58" s="21" t="n">
        <v>645.0</v>
      </c>
      <c r="F58" s="22" t="n">
        <f>17</f>
        <v>17.0</v>
      </c>
      <c r="G58" s="21" t="n">
        <v>4.9870148E8</v>
      </c>
      <c r="H58" s="22" t="n">
        <f>13177480</f>
        <v>1.317748E7</v>
      </c>
    </row>
    <row r="59" spans="1:8" ht="24.9" customHeight="1">
      <c r="A59" s="51"/>
      <c r="B59" s="57"/>
      <c r="C59" s="39"/>
      <c r="D59" s="24" t="s">
        <v>18</v>
      </c>
      <c r="E59" s="25" t="n">
        <v>1885.0</v>
      </c>
      <c r="F59" s="26" t="n">
        <f>42</f>
        <v>42.0</v>
      </c>
      <c r="G59" s="25" t="n">
        <v>1.45240938E9</v>
      </c>
      <c r="H59" s="26" t="n">
        <f>32493380</f>
        <v>3.249338E7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131.0</v>
      </c>
      <c r="F60" s="18" t="n">
        <f>19</f>
        <v>19.0</v>
      </c>
      <c r="G60" s="17" t="n">
        <v>6.8800236E8</v>
      </c>
      <c r="H60" s="18" t="n">
        <f>99609660</f>
        <v>9.960966E7</v>
      </c>
    </row>
    <row r="61" spans="1:8" ht="24.9" customHeight="1">
      <c r="A61" s="51"/>
      <c r="B61" s="57"/>
      <c r="C61" s="39"/>
      <c r="D61" s="20" t="s">
        <v>16</v>
      </c>
      <c r="E61" s="21" t="n">
        <v>88.0</v>
      </c>
      <c r="F61" s="22" t="n">
        <f>5</f>
        <v>5.0</v>
      </c>
      <c r="G61" s="21" t="n">
        <v>4.615011E8</v>
      </c>
      <c r="H61" s="22" t="n">
        <f>26215500</f>
        <v>2.62155E7</v>
      </c>
    </row>
    <row r="62" spans="1:8" ht="24.9" customHeight="1">
      <c r="A62" s="51"/>
      <c r="B62" s="57"/>
      <c r="C62" s="39"/>
      <c r="D62" s="20" t="s">
        <v>17</v>
      </c>
      <c r="E62" s="21" t="n">
        <v>230.0</v>
      </c>
      <c r="F62" s="22" t="n">
        <f>0</f>
        <v>0.0</v>
      </c>
      <c r="G62" s="21" t="n">
        <v>1.2042403E9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449.0</v>
      </c>
      <c r="F63" s="26" t="n">
        <f>24</f>
        <v>24.0</v>
      </c>
      <c r="G63" s="25" t="n">
        <v>2.35374376E9</v>
      </c>
      <c r="H63" s="26" t="n">
        <f>125825160</f>
        <v>1.2582516E8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4.0</v>
      </c>
      <c r="F76" s="18" t="n">
        <f>0</f>
        <v>0.0</v>
      </c>
      <c r="G76" s="17" t="n">
        <v>1290000.0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7.0</v>
      </c>
      <c r="F77" s="22" t="n">
        <f>0</f>
        <v>0.0</v>
      </c>
      <c r="G77" s="21" t="n">
        <v>2229500.0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1.0</v>
      </c>
      <c r="F78" s="22" t="n">
        <f>0</f>
        <v>0.0</v>
      </c>
      <c r="G78" s="21" t="n">
        <v>314000.0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12.0</v>
      </c>
      <c r="F79" s="26" t="n">
        <f>0</f>
        <v>0.0</v>
      </c>
      <c r="G79" s="25" t="n">
        <v>3833500.0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393.0</v>
      </c>
      <c r="F92" s="18" t="n">
        <f>0</f>
        <v>0.0</v>
      </c>
      <c r="G92" s="17" t="n">
        <v>6.027208E8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61.0</v>
      </c>
      <c r="F93" s="22" t="n">
        <f>0</f>
        <v>0.0</v>
      </c>
      <c r="G93" s="21" t="n">
        <v>9.3652E7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168.0</v>
      </c>
      <c r="F94" s="22" t="n">
        <f>0</f>
        <v>0.0</v>
      </c>
      <c r="G94" s="21" t="n">
        <v>2.581341E8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622.0</v>
      </c>
      <c r="F95" s="26" t="n">
        <f>0</f>
        <v>0.0</v>
      </c>
      <c r="G95" s="25" t="n">
        <v>9.545069E8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20.0</v>
      </c>
      <c r="F96" s="18" t="n">
        <f>0</f>
        <v>0.0</v>
      </c>
      <c r="G96" s="17" t="n">
        <v>4.59637E7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2.0</v>
      </c>
      <c r="F97" s="22" t="n">
        <f>0</f>
        <v>0.0</v>
      </c>
      <c r="G97" s="21" t="n">
        <v>4607800.0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4.0</v>
      </c>
      <c r="F98" s="22" t="n">
        <f>0</f>
        <v>0.0</v>
      </c>
      <c r="G98" s="21" t="n">
        <v>9215800.0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26.0</v>
      </c>
      <c r="F99" s="26" t="n">
        <f>0</f>
        <v>0.0</v>
      </c>
      <c r="G99" s="25" t="n">
        <v>5.97873E7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11524.0</v>
      </c>
      <c r="F108" s="18" t="n">
        <f>319</f>
        <v>319.0</v>
      </c>
      <c r="G108" s="17" t="n">
        <v>1.44096354E12</v>
      </c>
      <c r="H108" s="18" t="n">
        <f>39908870000</f>
        <v>3.990887E10</v>
      </c>
    </row>
    <row r="109" spans="1:8" ht="24.9" customHeight="1">
      <c r="A109" s="51"/>
      <c r="B109" s="57"/>
      <c r="C109" s="39"/>
      <c r="D109" s="20" t="s">
        <v>16</v>
      </c>
      <c r="E109" s="21" t="n">
        <v>12015.0</v>
      </c>
      <c r="F109" s="22" t="n">
        <f>1973</f>
        <v>1973.0</v>
      </c>
      <c r="G109" s="21" t="n">
        <v>1.502090875E12</v>
      </c>
      <c r="H109" s="22" t="n">
        <f>246659835000</f>
        <v>2.46659835E11</v>
      </c>
    </row>
    <row r="110" spans="1:8" ht="24.9" customHeight="1">
      <c r="A110" s="51"/>
      <c r="B110" s="57"/>
      <c r="C110" s="39"/>
      <c r="D110" s="20" t="s">
        <v>17</v>
      </c>
      <c r="E110" s="21" t="n">
        <v>20791.0</v>
      </c>
      <c r="F110" s="22" t="n">
        <f>1315</f>
        <v>1315.0</v>
      </c>
      <c r="G110" s="21" t="n">
        <v>2.596160755E12</v>
      </c>
      <c r="H110" s="22" t="n">
        <f>164201255000</f>
        <v>1.64201255E11</v>
      </c>
    </row>
    <row r="111" spans="1:8" ht="24.9" customHeight="1">
      <c r="A111" s="51"/>
      <c r="B111" s="57"/>
      <c r="C111" s="39"/>
      <c r="D111" s="24" t="s">
        <v>18</v>
      </c>
      <c r="E111" s="25" t="n">
        <v>44330.0</v>
      </c>
      <c r="F111" s="26" t="n">
        <f>3607</f>
        <v>3607.0</v>
      </c>
      <c r="G111" s="25" t="n">
        <v>5.53921517E12</v>
      </c>
      <c r="H111" s="26" t="n">
        <f>450769960000</f>
        <v>4.5076996E11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1868.0</v>
      </c>
      <c r="F113" s="22" t="n">
        <f>0</f>
        <v>0.0</v>
      </c>
      <c r="G113" s="21" t="n">
        <v>2.3352881E10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2531.0</v>
      </c>
      <c r="F114" s="22" t="n">
        <f>0</f>
        <v>0.0</v>
      </c>
      <c r="G114" s="21" t="n">
        <v>3.1606896E10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4399.0</v>
      </c>
      <c r="F115" s="26" t="n">
        <f>0</f>
        <v>0.0</v>
      </c>
      <c r="G115" s="25" t="n">
        <v>5.4959777E10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350.0</v>
      </c>
      <c r="F118" s="22" t="n">
        <f>350</f>
        <v>350.0</v>
      </c>
      <c r="G118" s="21" t="n">
        <v>3.11255E9</v>
      </c>
      <c r="H118" s="22" t="n">
        <f>3112550000</f>
        <v>3.11255E9</v>
      </c>
    </row>
    <row r="119" spans="1:8" ht="24.9" customHeight="1">
      <c r="A119" s="51"/>
      <c r="B119" s="58"/>
      <c r="C119" s="39"/>
      <c r="D119" s="24" t="s">
        <v>18</v>
      </c>
      <c r="E119" s="25" t="n">
        <v>350.0</v>
      </c>
      <c r="F119" s="26" t="n">
        <f>350</f>
        <v>350.0</v>
      </c>
      <c r="G119" s="25" t="n">
        <v>3.11255E9</v>
      </c>
      <c r="H119" s="26" t="n">
        <f>3112550000</f>
        <v>3.11255E9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469.0</v>
      </c>
      <c r="F120" s="18" t="n">
        <f>0</f>
        <v>0.0</v>
      </c>
      <c r="G120" s="17" t="n">
        <v>1.155141E10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322.0</v>
      </c>
      <c r="F121" s="22" t="n">
        <f>0</f>
        <v>0.0</v>
      </c>
      <c r="G121" s="21" t="n">
        <v>7.9305325E9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572.0</v>
      </c>
      <c r="F122" s="22" t="n">
        <f>0</f>
        <v>0.0</v>
      </c>
      <c r="G122" s="21" t="n">
        <v>1.409693E10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1363.0</v>
      </c>
      <c r="F123" s="26" t="n">
        <f>0</f>
        <v>0.0</v>
      </c>
      <c r="G123" s="25" t="n">
        <v>3.35788725E10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5100.0</v>
      </c>
      <c r="F124" s="18" t="n">
        <f>0</f>
        <v>0.0</v>
      </c>
      <c r="G124" s="17" t="n">
        <v>1.11590343E11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1592.0</v>
      </c>
      <c r="F125" s="22" t="n">
        <f>0</f>
        <v>0.0</v>
      </c>
      <c r="G125" s="21" t="n">
        <v>3.4814665E10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2873.0</v>
      </c>
      <c r="F126" s="22" t="n">
        <f>0</f>
        <v>0.0</v>
      </c>
      <c r="G126" s="21" t="n">
        <v>6.306213E10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9565.0</v>
      </c>
      <c r="F127" s="26" t="n">
        <f>0</f>
        <v>0.0</v>
      </c>
      <c r="G127" s="25" t="n">
        <v>2.09467138E11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94.0</v>
      </c>
      <c r="F128" s="18" t="n">
        <f>0</f>
        <v>0.0</v>
      </c>
      <c r="G128" s="17" t="n">
        <v>2.026324E8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61.0</v>
      </c>
      <c r="F129" s="22" t="n">
        <f>0</f>
        <v>0.0</v>
      </c>
      <c r="G129" s="21" t="n">
        <v>1.318944E8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248.0</v>
      </c>
      <c r="F130" s="22" t="n">
        <f>0</f>
        <v>0.0</v>
      </c>
      <c r="G130" s="21" t="n">
        <v>5.370582E8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403.0</v>
      </c>
      <c r="F131" s="26" t="n">
        <f>0</f>
        <v>0.0</v>
      </c>
      <c r="G131" s="25" t="n">
        <v>8.71585E8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7415.0</v>
      </c>
      <c r="F132" s="18" t="n">
        <f>0</f>
        <v>0.0</v>
      </c>
      <c r="G132" s="17" t="n">
        <v>1.6256842E10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1704.0</v>
      </c>
      <c r="F133" s="22" t="n">
        <f>0</f>
        <v>0.0</v>
      </c>
      <c r="G133" s="21" t="n">
        <v>3.7398003E9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2056.0</v>
      </c>
      <c r="F134" s="22" t="n">
        <f>0</f>
        <v>0.0</v>
      </c>
      <c r="G134" s="21" t="n">
        <v>4.5205614E9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11175.0</v>
      </c>
      <c r="F135" s="26" t="n">
        <f>0</f>
        <v>0.0</v>
      </c>
      <c r="G135" s="25" t="n">
        <v>2.45172037E10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75.0</v>
      </c>
      <c r="F136" s="18" t="n">
        <f>0</f>
        <v>0.0</v>
      </c>
      <c r="G136" s="17" t="n">
        <v>1.604981E8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68.0</v>
      </c>
      <c r="F137" s="22" t="n">
        <f>0</f>
        <v>0.0</v>
      </c>
      <c r="G137" s="21" t="n">
        <v>1.453939E8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39.0</v>
      </c>
      <c r="F138" s="22" t="n">
        <f>0</f>
        <v>0.0</v>
      </c>
      <c r="G138" s="21" t="n">
        <v>8.36458E7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182.0</v>
      </c>
      <c r="F139" s="26" t="n">
        <f>0</f>
        <v>0.0</v>
      </c>
      <c r="G139" s="25" t="n">
        <v>3.895378E8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1181.0</v>
      </c>
      <c r="F144" s="18" t="n">
        <f>0</f>
        <v>0.0</v>
      </c>
      <c r="G144" s="17" t="n">
        <v>5.077609E9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1092.0</v>
      </c>
      <c r="F145" s="22" t="n">
        <f>0</f>
        <v>0.0</v>
      </c>
      <c r="G145" s="21" t="n">
        <v>4.6617435E9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935.0</v>
      </c>
      <c r="F146" s="22" t="n">
        <f>1</f>
        <v>1.0</v>
      </c>
      <c r="G146" s="21" t="n">
        <v>4.031968E9</v>
      </c>
      <c r="H146" s="22" t="n">
        <f>4320000</f>
        <v>4320000.0</v>
      </c>
    </row>
    <row r="147" spans="1:8" ht="24.9" customHeight="1">
      <c r="A147" s="51"/>
      <c r="B147" s="57"/>
      <c r="C147" s="39"/>
      <c r="D147" s="24" t="s">
        <v>18</v>
      </c>
      <c r="E147" s="25" t="n">
        <v>3208.0</v>
      </c>
      <c r="F147" s="26" t="n">
        <f>1</f>
        <v>1.0</v>
      </c>
      <c r="G147" s="25" t="n">
        <v>1.37713205E10</v>
      </c>
      <c r="H147" s="26" t="n">
        <f>4320000</f>
        <v>4320000.0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91.0</v>
      </c>
      <c r="F148" s="18" t="n">
        <f>0</f>
        <v>0.0</v>
      </c>
      <c r="G148" s="17" t="n">
        <v>8.04255E7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90.0</v>
      </c>
      <c r="F149" s="22" t="n">
        <f>0</f>
        <v>0.0</v>
      </c>
      <c r="G149" s="21" t="n">
        <v>7.91124E7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226.0</v>
      </c>
      <c r="F150" s="22" t="n">
        <f>0</f>
        <v>0.0</v>
      </c>
      <c r="G150" s="21" t="n">
        <v>1.999293E8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407.0</v>
      </c>
      <c r="F151" s="26" t="n">
        <f>0</f>
        <v>0.0</v>
      </c>
      <c r="G151" s="25" t="n">
        <v>3.594672E8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376.0</v>
      </c>
      <c r="F152" s="18" t="n">
        <f>0</f>
        <v>0.0</v>
      </c>
      <c r="G152" s="17" t="n">
        <v>3.2439175E8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162.0</v>
      </c>
      <c r="F153" s="22" t="n">
        <f>0</f>
        <v>0.0</v>
      </c>
      <c r="G153" s="21" t="n">
        <v>1.386229E8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359.0</v>
      </c>
      <c r="F154" s="22" t="n">
        <f>0</f>
        <v>0.0</v>
      </c>
      <c r="G154" s="21" t="n">
        <v>3.095754E8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897.0</v>
      </c>
      <c r="F155" s="26" t="n">
        <f>0</f>
        <v>0.0</v>
      </c>
      <c r="G155" s="25" t="n">
        <v>7.7259005E8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136.0</v>
      </c>
      <c r="F156" s="18" t="n">
        <f>0</f>
        <v>0.0</v>
      </c>
      <c r="G156" s="17" t="n">
        <v>1.171108E8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34.0</v>
      </c>
      <c r="F157" s="22" t="n">
        <f>0</f>
        <v>0.0</v>
      </c>
      <c r="G157" s="21" t="n">
        <v>2.90601E7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428.0</v>
      </c>
      <c r="F158" s="22" t="n">
        <f>0</f>
        <v>0.0</v>
      </c>
      <c r="G158" s="21" t="n">
        <v>3.708856E8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598.0</v>
      </c>
      <c r="F159" s="26" t="n">
        <f>0</f>
        <v>0.0</v>
      </c>
      <c r="G159" s="25" t="n">
        <v>5.170565E8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113.0</v>
      </c>
      <c r="F168" s="18" t="n">
        <f>0</f>
        <v>0.0</v>
      </c>
      <c r="G168" s="17" t="n">
        <v>2.416975E8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371.0</v>
      </c>
      <c r="F169" s="22" t="n">
        <f>0</f>
        <v>0.0</v>
      </c>
      <c r="G169" s="21" t="n">
        <v>7.87005E8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443.0</v>
      </c>
      <c r="F170" s="22" t="n">
        <f>0</f>
        <v>0.0</v>
      </c>
      <c r="G170" s="21" t="n">
        <v>9.391075E8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927.0</v>
      </c>
      <c r="F171" s="26" t="n">
        <f>0</f>
        <v>0.0</v>
      </c>
      <c r="G171" s="25" t="n">
        <v>1.96781E9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0.0</v>
      </c>
      <c r="F179" s="26" t="n">
        <f>0</f>
        <v>0.0</v>
      </c>
      <c r="G179" s="25" t="n">
        <v>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265.0</v>
      </c>
      <c r="F204" s="18" t="n">
        <f>0</f>
        <v>0.0</v>
      </c>
      <c r="G204" s="17" t="n">
        <v>1.1107645E9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179.0</v>
      </c>
      <c r="F205" s="22" t="n">
        <f>0</f>
        <v>0.0</v>
      </c>
      <c r="G205" s="21" t="n">
        <v>7.58681E8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1697.0</v>
      </c>
      <c r="F206" s="22" t="n">
        <f>2</f>
        <v>2.0</v>
      </c>
      <c r="G206" s="21" t="n">
        <v>7.2510745E9</v>
      </c>
      <c r="H206" s="22" t="n">
        <f>10350500</f>
        <v>1.03505E7</v>
      </c>
    </row>
    <row r="207" spans="1:8" ht="24.9" customHeight="1">
      <c r="A207" s="57"/>
      <c r="B207" s="59"/>
      <c r="C207" s="39"/>
      <c r="D207" s="24" t="s">
        <v>18</v>
      </c>
      <c r="E207" s="25" t="n">
        <v>2141.0</v>
      </c>
      <c r="F207" s="26" t="n">
        <f>2</f>
        <v>2.0</v>
      </c>
      <c r="G207" s="25" t="n">
        <v>9.12052E9</v>
      </c>
      <c r="H207" s="26" t="n">
        <f>10350500</f>
        <v>1.03505E7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3.0</v>
      </c>
      <c r="F208" s="18" t="n">
        <f>0</f>
        <v>0.0</v>
      </c>
      <c r="G208" s="17" t="n">
        <v>4530960.0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3.0</v>
      </c>
      <c r="F211" s="26" t="n">
        <f>0</f>
        <v>0.0</v>
      </c>
      <c r="G211" s="25" t="n">
        <v>4530960.0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18.0</v>
      </c>
      <c r="F226" s="22" t="n">
        <f>18</f>
        <v>18.0</v>
      </c>
      <c r="G226" s="21" t="n">
        <v>9772260.0</v>
      </c>
      <c r="H226" s="22" t="n">
        <f>9772260</f>
        <v>9772260.0</v>
      </c>
    </row>
    <row r="227" spans="1:8" ht="24.9" customHeight="1">
      <c r="A227" s="57"/>
      <c r="B227" s="59"/>
      <c r="C227" s="39"/>
      <c r="D227" s="24" t="s">
        <v>18</v>
      </c>
      <c r="E227" s="25" t="n">
        <v>18.0</v>
      </c>
      <c r="F227" s="26" t="n">
        <f>18</f>
        <v>18.0</v>
      </c>
      <c r="G227" s="25" t="n">
        <v>9772260.0</v>
      </c>
      <c r="H227" s="26" t="n">
        <f>9772260</f>
        <v>9772260.0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46280.0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46280.0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3661</f>
        <v>3661.0</v>
      </c>
      <c r="E12" s="35" t="n">
        <f>2260</f>
        <v>2260.0</v>
      </c>
      <c r="F12" s="17" t="n">
        <f>1914</f>
        <v>1914.0</v>
      </c>
      <c r="G12" s="35" t="n">
        <f>822</f>
        <v>822.0</v>
      </c>
      <c r="H12" s="17" t="n">
        <f>5575</f>
        <v>5575.0</v>
      </c>
      <c r="I12" s="35" t="n">
        <f>3082</f>
        <v>3082.0</v>
      </c>
      <c r="J12" s="17" t="n">
        <f>1522821750</f>
        <v>1.52282175E9</v>
      </c>
      <c r="K12" s="35" t="n">
        <f>884791750</f>
        <v>8.8479175E8</v>
      </c>
      <c r="L12" s="17" t="n">
        <f>755128190</f>
        <v>7.5512819E8</v>
      </c>
      <c r="M12" s="35" t="n">
        <f>359287190</f>
        <v>3.5928719E8</v>
      </c>
      <c r="N12" s="17" t="n">
        <f>2277949940</f>
        <v>2.27794994E9</v>
      </c>
      <c r="O12" s="35" t="n">
        <f>1244078940</f>
        <v>1.24407894E9</v>
      </c>
    </row>
    <row r="13" spans="1:15" ht="24.9" customHeight="1">
      <c r="A13" s="38"/>
      <c r="B13" s="62"/>
      <c r="C13" s="20" t="s">
        <v>16</v>
      </c>
      <c r="D13" s="21" t="n">
        <f>2227</f>
        <v>2227.0</v>
      </c>
      <c r="E13" s="36" t="n">
        <f>903</f>
        <v>903.0</v>
      </c>
      <c r="F13" s="21" t="n">
        <f>1648</f>
        <v>1648.0</v>
      </c>
      <c r="G13" s="36" t="n">
        <f>249</f>
        <v>249.0</v>
      </c>
      <c r="H13" s="21" t="n">
        <f>3875</f>
        <v>3875.0</v>
      </c>
      <c r="I13" s="36" t="n">
        <f>1152</f>
        <v>1152.0</v>
      </c>
      <c r="J13" s="21" t="n">
        <f>1854158410</f>
        <v>1.85415841E9</v>
      </c>
      <c r="K13" s="36" t="n">
        <f>1384241410</f>
        <v>1.38424141E9</v>
      </c>
      <c r="L13" s="21" t="n">
        <f>1188952010</f>
        <v>1.18895201E9</v>
      </c>
      <c r="M13" s="36" t="n">
        <f>660153010</f>
        <v>6.6015301E8</v>
      </c>
      <c r="N13" s="21" t="n">
        <f>3043110420</f>
        <v>3.04311042E9</v>
      </c>
      <c r="O13" s="36" t="n">
        <f>2044394420</f>
        <v>2.04439442E9</v>
      </c>
    </row>
    <row r="14" spans="1:15" ht="24.9" customHeight="1">
      <c r="A14" s="38"/>
      <c r="B14" s="62"/>
      <c r="C14" s="20" t="s">
        <v>17</v>
      </c>
      <c r="D14" s="21" t="n">
        <f>12083</f>
        <v>12083.0</v>
      </c>
      <c r="E14" s="36" t="n">
        <f>9321</f>
        <v>9321.0</v>
      </c>
      <c r="F14" s="21" t="n">
        <f>5274</f>
        <v>5274.0</v>
      </c>
      <c r="G14" s="36" t="n">
        <f>3532</f>
        <v>3532.0</v>
      </c>
      <c r="H14" s="21" t="n">
        <f>17357</f>
        <v>17357.0</v>
      </c>
      <c r="I14" s="36" t="n">
        <f>12853</f>
        <v>12853.0</v>
      </c>
      <c r="J14" s="21" t="n">
        <f>10739012649</f>
        <v>1.0739012649E10</v>
      </c>
      <c r="K14" s="36" t="n">
        <f>9811849649</f>
        <v>9.811849649E9</v>
      </c>
      <c r="L14" s="21" t="n">
        <f>4857175780</f>
        <v>4.85717578E9</v>
      </c>
      <c r="M14" s="36" t="n">
        <f>4364520780</f>
        <v>4.36452078E9</v>
      </c>
      <c r="N14" s="21" t="n">
        <f>15596188429</f>
        <v>1.5596188429E10</v>
      </c>
      <c r="O14" s="36" t="n">
        <f>14176370429</f>
        <v>1.4176370429E10</v>
      </c>
    </row>
    <row r="15" spans="1:15" ht="24.9" customHeight="1">
      <c r="A15" s="38"/>
      <c r="B15" s="62"/>
      <c r="C15" s="24" t="s">
        <v>18</v>
      </c>
      <c r="D15" s="25" t="n">
        <f>17971</f>
        <v>17971.0</v>
      </c>
      <c r="E15" s="37" t="n">
        <f>12484</f>
        <v>12484.0</v>
      </c>
      <c r="F15" s="25" t="n">
        <f>8836</f>
        <v>8836.0</v>
      </c>
      <c r="G15" s="37" t="n">
        <f>4603</f>
        <v>4603.0</v>
      </c>
      <c r="H15" s="25" t="n">
        <f>26807</f>
        <v>26807.0</v>
      </c>
      <c r="I15" s="37" t="n">
        <f>17087</f>
        <v>17087.0</v>
      </c>
      <c r="J15" s="25" t="n">
        <f>14115992809</f>
        <v>1.4115992809E10</v>
      </c>
      <c r="K15" s="37" t="n">
        <f>12080882809</f>
        <v>1.2080882809E10</v>
      </c>
      <c r="L15" s="25" t="n">
        <f>6801255980</f>
        <v>6.80125598E9</v>
      </c>
      <c r="M15" s="37" t="n">
        <f>5383960980</f>
        <v>5.38396098E9</v>
      </c>
      <c r="N15" s="25" t="n">
        <f>20917248789</f>
        <v>2.0917248789E10</v>
      </c>
      <c r="O15" s="37" t="n">
        <f>17464843789</f>
        <v>1.7464843789E10</v>
      </c>
    </row>
    <row r="16" spans="1:15" ht="24.9" customHeight="1">
      <c r="A16" s="38"/>
      <c r="B16" s="61" t="s">
        <v>105</v>
      </c>
      <c r="C16" s="16" t="s">
        <v>15</v>
      </c>
      <c r="D16" s="17" t="n">
        <f>6064</f>
        <v>6064.0</v>
      </c>
      <c r="E16" s="35" t="n">
        <f>390</f>
        <v>390.0</v>
      </c>
      <c r="F16" s="17" t="n">
        <f>9091</f>
        <v>9091.0</v>
      </c>
      <c r="G16" s="35" t="n">
        <f>700</f>
        <v>700.0</v>
      </c>
      <c r="H16" s="17" t="n">
        <f>15155</f>
        <v>15155.0</v>
      </c>
      <c r="I16" s="35" t="n">
        <f>1090</f>
        <v>1090.0</v>
      </c>
      <c r="J16" s="17" t="n">
        <f>510982510</f>
        <v>5.1098251E8</v>
      </c>
      <c r="K16" s="35" t="n">
        <f>7994910</f>
        <v>7994910.0</v>
      </c>
      <c r="L16" s="17" t="n">
        <f>381376490</f>
        <v>3.8137649E8</v>
      </c>
      <c r="M16" s="35" t="n">
        <f>3452490</f>
        <v>3452490.0</v>
      </c>
      <c r="N16" s="17" t="n">
        <f>892359000</f>
        <v>8.92359E8</v>
      </c>
      <c r="O16" s="35" t="n">
        <f>11447400</f>
        <v>1.14474E7</v>
      </c>
    </row>
    <row r="17" spans="1:15" ht="24.9" customHeight="1">
      <c r="A17" s="38"/>
      <c r="B17" s="62"/>
      <c r="C17" s="20" t="s">
        <v>16</v>
      </c>
      <c r="D17" s="21" t="n">
        <f>4758</f>
        <v>4758.0</v>
      </c>
      <c r="E17" s="36" t="n">
        <f>280</f>
        <v>280.0</v>
      </c>
      <c r="F17" s="21" t="n">
        <f>7381</f>
        <v>7381.0</v>
      </c>
      <c r="G17" s="36" t="n">
        <f>510</f>
        <v>510.0</v>
      </c>
      <c r="H17" s="21" t="n">
        <f>12139</f>
        <v>12139.0</v>
      </c>
      <c r="I17" s="36" t="n">
        <f>790</f>
        <v>790.0</v>
      </c>
      <c r="J17" s="21" t="n">
        <f>216521480</f>
        <v>2.1652148E8</v>
      </c>
      <c r="K17" s="36" t="n">
        <f>7885580</f>
        <v>7885580.0</v>
      </c>
      <c r="L17" s="21" t="n">
        <f>180825880</f>
        <v>1.8082588E8</v>
      </c>
      <c r="M17" s="36" t="n">
        <f>2400980</f>
        <v>2400980.0</v>
      </c>
      <c r="N17" s="21" t="n">
        <f>397347360</f>
        <v>3.9734736E8</v>
      </c>
      <c r="O17" s="36" t="n">
        <f>10286560</f>
        <v>1.028656E7</v>
      </c>
    </row>
    <row r="18" spans="1:15" ht="24.9" customHeight="1">
      <c r="A18" s="38"/>
      <c r="B18" s="62"/>
      <c r="C18" s="20" t="s">
        <v>17</v>
      </c>
      <c r="D18" s="21" t="n">
        <f>7865</f>
        <v>7865.0</v>
      </c>
      <c r="E18" s="36" t="n">
        <f>2070</f>
        <v>2070.0</v>
      </c>
      <c r="F18" s="21" t="n">
        <f>7692</f>
        <v>7692.0</v>
      </c>
      <c r="G18" s="36" t="n">
        <f>1750</f>
        <v>1750.0</v>
      </c>
      <c r="H18" s="21" t="n">
        <f>15557</f>
        <v>15557.0</v>
      </c>
      <c r="I18" s="36" t="n">
        <f>3820</f>
        <v>3820.0</v>
      </c>
      <c r="J18" s="21" t="n">
        <f>271847370</f>
        <v>2.7184737E8</v>
      </c>
      <c r="K18" s="36" t="n">
        <f>54601470</f>
        <v>5.460147E7</v>
      </c>
      <c r="L18" s="21" t="n">
        <f>273379160</f>
        <v>2.7337916E8</v>
      </c>
      <c r="M18" s="36" t="n">
        <f>124751460</f>
        <v>1.2475146E8</v>
      </c>
      <c r="N18" s="21" t="n">
        <f>545226530</f>
        <v>5.4522653E8</v>
      </c>
      <c r="O18" s="36" t="n">
        <f>179352930</f>
        <v>1.7935293E8</v>
      </c>
    </row>
    <row r="19" spans="1:15" ht="24.9" customHeight="1">
      <c r="A19" s="38"/>
      <c r="B19" s="62"/>
      <c r="C19" s="24" t="s">
        <v>18</v>
      </c>
      <c r="D19" s="25" t="n">
        <f>18687</f>
        <v>18687.0</v>
      </c>
      <c r="E19" s="37" t="n">
        <f>2740</f>
        <v>2740.0</v>
      </c>
      <c r="F19" s="25" t="n">
        <f>24164</f>
        <v>24164.0</v>
      </c>
      <c r="G19" s="37" t="n">
        <f>2960</f>
        <v>2960.0</v>
      </c>
      <c r="H19" s="25" t="n">
        <f>42851</f>
        <v>42851.0</v>
      </c>
      <c r="I19" s="37" t="n">
        <f>5700</f>
        <v>5700.0</v>
      </c>
      <c r="J19" s="25" t="n">
        <f>999351360</f>
        <v>9.9935136E8</v>
      </c>
      <c r="K19" s="37" t="n">
        <f>70481960</f>
        <v>7.048196E7</v>
      </c>
      <c r="L19" s="25" t="n">
        <f>835581530</f>
        <v>8.3558153E8</v>
      </c>
      <c r="M19" s="37" t="n">
        <f>130604930</f>
        <v>1.3060493E8</v>
      </c>
      <c r="N19" s="25" t="n">
        <f>1834932890</f>
        <v>1.83493289E9</v>
      </c>
      <c r="O19" s="37" t="n">
        <f>201086890</f>
        <v>2.0108689E8</v>
      </c>
    </row>
    <row r="20" spans="1:15" ht="24.9" customHeight="1">
      <c r="A20" s="38"/>
      <c r="B20" s="61" t="s">
        <v>106</v>
      </c>
      <c r="C20" s="16" t="s">
        <v>15</v>
      </c>
      <c r="D20" s="17" t="n">
        <f>304</f>
        <v>304.0</v>
      </c>
      <c r="E20" s="35" t="n">
        <f>304</f>
        <v>304.0</v>
      </c>
      <c r="F20" s="17" t="n">
        <f>0</f>
        <v>0.0</v>
      </c>
      <c r="G20" s="35" t="n">
        <f>0</f>
        <v>0.0</v>
      </c>
      <c r="H20" s="17" t="n">
        <f>304</f>
        <v>304.0</v>
      </c>
      <c r="I20" s="35" t="n">
        <f>304</f>
        <v>304.0</v>
      </c>
      <c r="J20" s="17" t="n">
        <f>131579300</f>
        <v>1.315793E8</v>
      </c>
      <c r="K20" s="35" t="n">
        <f>131579300</f>
        <v>1.315793E8</v>
      </c>
      <c r="L20" s="17" t="n">
        <f>0</f>
        <v>0.0</v>
      </c>
      <c r="M20" s="35" t="n">
        <f>0</f>
        <v>0.0</v>
      </c>
      <c r="N20" s="17" t="n">
        <f>131579300</f>
        <v>1.315793E8</v>
      </c>
      <c r="O20" s="35" t="n">
        <f>131579300</f>
        <v>1.315793E8</v>
      </c>
    </row>
    <row r="21" spans="1:15" ht="24.9" customHeight="1">
      <c r="A21" s="38"/>
      <c r="B21" s="62"/>
      <c r="C21" s="20" t="s">
        <v>16</v>
      </c>
      <c r="D21" s="21" t="n">
        <f>300</f>
        <v>300.0</v>
      </c>
      <c r="E21" s="36" t="n">
        <f>300</f>
        <v>300.0</v>
      </c>
      <c r="F21" s="21" t="n">
        <f>550</f>
        <v>550.0</v>
      </c>
      <c r="G21" s="36" t="n">
        <f>550</f>
        <v>550.0</v>
      </c>
      <c r="H21" s="21" t="n">
        <f>850</f>
        <v>850.0</v>
      </c>
      <c r="I21" s="36" t="n">
        <f>850</f>
        <v>850.0</v>
      </c>
      <c r="J21" s="21" t="n">
        <f>147000000</f>
        <v>1.47E8</v>
      </c>
      <c r="K21" s="36" t="n">
        <f>147000000</f>
        <v>1.47E8</v>
      </c>
      <c r="L21" s="21" t="n">
        <f>17000000</f>
        <v>1.7E7</v>
      </c>
      <c r="M21" s="36" t="n">
        <f>17000000</f>
        <v>1.7E7</v>
      </c>
      <c r="N21" s="21" t="n">
        <f>164000000</f>
        <v>1.64E8</v>
      </c>
      <c r="O21" s="36" t="n">
        <f>164000000</f>
        <v>1.64E8</v>
      </c>
    </row>
    <row r="22" spans="1:15" ht="24.9" customHeight="1">
      <c r="A22" s="38"/>
      <c r="B22" s="62"/>
      <c r="C22" s="20" t="s">
        <v>17</v>
      </c>
      <c r="D22" s="21" t="n">
        <f>278</f>
        <v>278.0</v>
      </c>
      <c r="E22" s="36" t="n">
        <f>278</f>
        <v>278.0</v>
      </c>
      <c r="F22" s="21" t="n">
        <f>400</f>
        <v>400.0</v>
      </c>
      <c r="G22" s="36" t="n">
        <f>400</f>
        <v>400.0</v>
      </c>
      <c r="H22" s="21" t="n">
        <f>678</f>
        <v>678.0</v>
      </c>
      <c r="I22" s="36" t="n">
        <f>678</f>
        <v>678.0</v>
      </c>
      <c r="J22" s="21" t="n">
        <f>105524000</f>
        <v>1.05524E8</v>
      </c>
      <c r="K22" s="36" t="n">
        <f>105524000</f>
        <v>1.05524E8</v>
      </c>
      <c r="L22" s="21" t="n">
        <f>110950000</f>
        <v>1.1095E8</v>
      </c>
      <c r="M22" s="36" t="n">
        <f>110950000</f>
        <v>1.1095E8</v>
      </c>
      <c r="N22" s="21" t="n">
        <f>216474000</f>
        <v>2.16474E8</v>
      </c>
      <c r="O22" s="36" t="n">
        <f>216474000</f>
        <v>2.16474E8</v>
      </c>
    </row>
    <row r="23" spans="1:15" ht="24.9" customHeight="1">
      <c r="A23" s="38"/>
      <c r="B23" s="62"/>
      <c r="C23" s="24" t="s">
        <v>18</v>
      </c>
      <c r="D23" s="25" t="n">
        <f>882</f>
        <v>882.0</v>
      </c>
      <c r="E23" s="37" t="n">
        <f>882</f>
        <v>882.0</v>
      </c>
      <c r="F23" s="25" t="n">
        <f>950</f>
        <v>950.0</v>
      </c>
      <c r="G23" s="37" t="n">
        <f>950</f>
        <v>950.0</v>
      </c>
      <c r="H23" s="25" t="n">
        <f>1832</f>
        <v>1832.0</v>
      </c>
      <c r="I23" s="37" t="n">
        <f>1832</f>
        <v>1832.0</v>
      </c>
      <c r="J23" s="25" t="n">
        <f>384103300</f>
        <v>3.841033E8</v>
      </c>
      <c r="K23" s="37" t="n">
        <f>384103300</f>
        <v>3.841033E8</v>
      </c>
      <c r="L23" s="25" t="n">
        <f>127950000</f>
        <v>1.2795E8</v>
      </c>
      <c r="M23" s="37" t="n">
        <f>127950000</f>
        <v>1.2795E8</v>
      </c>
      <c r="N23" s="25" t="n">
        <f>512053300</f>
        <v>5.120533E8</v>
      </c>
      <c r="O23" s="37" t="n">
        <f>512053300</f>
        <v>5.120533E8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20</f>
        <v>20.0</v>
      </c>
      <c r="G36" s="18" t="n">
        <f>0</f>
        <v>0.0</v>
      </c>
      <c r="H36" s="17" t="n">
        <f>20</f>
        <v>20.0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2000000</f>
        <v>2000000.0</v>
      </c>
      <c r="M36" s="18" t="n">
        <f>0</f>
        <v>0.0</v>
      </c>
      <c r="N36" s="17" t="n">
        <f>2000000</f>
        <v>2000000.0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74</f>
        <v>74.0</v>
      </c>
      <c r="E37" s="22" t="n">
        <f>0</f>
        <v>0.0</v>
      </c>
      <c r="F37" s="21" t="n">
        <f>35</f>
        <v>35.0</v>
      </c>
      <c r="G37" s="22" t="n">
        <f>0</f>
        <v>0.0</v>
      </c>
      <c r="H37" s="21" t="n">
        <f>109</f>
        <v>109.0</v>
      </c>
      <c r="I37" s="22" t="n">
        <f>0</f>
        <v>0.0</v>
      </c>
      <c r="J37" s="21" t="n">
        <f>13580000</f>
        <v>1.358E7</v>
      </c>
      <c r="K37" s="22" t="n">
        <f>0</f>
        <v>0.0</v>
      </c>
      <c r="L37" s="21" t="n">
        <f>2820000</f>
        <v>2820000.0</v>
      </c>
      <c r="M37" s="22" t="n">
        <f>0</f>
        <v>0.0</v>
      </c>
      <c r="N37" s="21" t="n">
        <f>16400000</f>
        <v>1.64E7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35</f>
        <v>35.0</v>
      </c>
      <c r="E38" s="36" t="n">
        <f>0</f>
        <v>0.0</v>
      </c>
      <c r="F38" s="21" t="n">
        <f>38</f>
        <v>38.0</v>
      </c>
      <c r="G38" s="36" t="n">
        <f>0</f>
        <v>0.0</v>
      </c>
      <c r="H38" s="21" t="n">
        <f>73</f>
        <v>73.0</v>
      </c>
      <c r="I38" s="36" t="n">
        <f>0</f>
        <v>0.0</v>
      </c>
      <c r="J38" s="21" t="n">
        <f>5070000</f>
        <v>5070000.0</v>
      </c>
      <c r="K38" s="36" t="n">
        <f>0</f>
        <v>0.0</v>
      </c>
      <c r="L38" s="21" t="n">
        <f>5190000</f>
        <v>5190000.0</v>
      </c>
      <c r="M38" s="36" t="n">
        <f>0</f>
        <v>0.0</v>
      </c>
      <c r="N38" s="21" t="n">
        <f>10260000</f>
        <v>1.026E7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109</f>
        <v>109.0</v>
      </c>
      <c r="E39" s="37" t="n">
        <f>0</f>
        <v>0.0</v>
      </c>
      <c r="F39" s="25" t="n">
        <f>93</f>
        <v>93.0</v>
      </c>
      <c r="G39" s="37" t="n">
        <f>0</f>
        <v>0.0</v>
      </c>
      <c r="H39" s="25" t="n">
        <f>202</f>
        <v>202.0</v>
      </c>
      <c r="I39" s="37" t="n">
        <f>0</f>
        <v>0.0</v>
      </c>
      <c r="J39" s="25" t="n">
        <f>18650000</f>
        <v>1.865E7</v>
      </c>
      <c r="K39" s="37" t="n">
        <f>0</f>
        <v>0.0</v>
      </c>
      <c r="L39" s="25" t="n">
        <f>10010000</f>
        <v>1.001E7</v>
      </c>
      <c r="M39" s="37" t="n">
        <f>0</f>
        <v>0.0</v>
      </c>
      <c r="N39" s="25" t="n">
        <f>28660000</f>
        <v>2.866E7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492</f>
        <v>492.0</v>
      </c>
      <c r="E41" s="36" t="n">
        <f>0</f>
        <v>0.0</v>
      </c>
      <c r="F41" s="21" t="n">
        <f>107</f>
        <v>107.0</v>
      </c>
      <c r="G41" s="36" t="n">
        <f>0</f>
        <v>0.0</v>
      </c>
      <c r="H41" s="21" t="n">
        <f>599</f>
        <v>599.0</v>
      </c>
      <c r="I41" s="36" t="n">
        <f>0</f>
        <v>0.0</v>
      </c>
      <c r="J41" s="21" t="n">
        <f>2484920</f>
        <v>2484920.0</v>
      </c>
      <c r="K41" s="36" t="n">
        <f>0</f>
        <v>0.0</v>
      </c>
      <c r="L41" s="21" t="n">
        <f>2915869</f>
        <v>2915869.0</v>
      </c>
      <c r="M41" s="36" t="n">
        <f>0</f>
        <v>0.0</v>
      </c>
      <c r="N41" s="21" t="n">
        <f>5400789</f>
        <v>5400789.0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4598</f>
        <v>4598.0</v>
      </c>
      <c r="E42" s="36" t="n">
        <f>750</f>
        <v>750.0</v>
      </c>
      <c r="F42" s="21" t="n">
        <f>1485</f>
        <v>1485.0</v>
      </c>
      <c r="G42" s="36" t="n">
        <f>308</f>
        <v>308.0</v>
      </c>
      <c r="H42" s="21" t="n">
        <f>6083</f>
        <v>6083.0</v>
      </c>
      <c r="I42" s="36" t="n">
        <f>1058</f>
        <v>1058.0</v>
      </c>
      <c r="J42" s="21" t="n">
        <f>13568595</f>
        <v>1.3568595E7</v>
      </c>
      <c r="K42" s="36" t="n">
        <f>7500000</f>
        <v>7500000.0</v>
      </c>
      <c r="L42" s="21" t="n">
        <f>50665090</f>
        <v>5.066509E7</v>
      </c>
      <c r="M42" s="36" t="n">
        <f>47754400</f>
        <v>4.77544E7</v>
      </c>
      <c r="N42" s="21" t="n">
        <f>64233685</f>
        <v>6.4233685E7</v>
      </c>
      <c r="O42" s="36" t="n">
        <f>55254400</f>
        <v>5.52544E7</v>
      </c>
    </row>
    <row r="43" spans="1:15" ht="24.9" customHeight="1">
      <c r="A43" s="38"/>
      <c r="B43" s="62"/>
      <c r="C43" s="24" t="s">
        <v>18</v>
      </c>
      <c r="D43" s="25" t="n">
        <f>5090</f>
        <v>5090.0</v>
      </c>
      <c r="E43" s="37" t="n">
        <f>750</f>
        <v>750.0</v>
      </c>
      <c r="F43" s="25" t="n">
        <f>1592</f>
        <v>1592.0</v>
      </c>
      <c r="G43" s="37" t="n">
        <f>308</f>
        <v>308.0</v>
      </c>
      <c r="H43" s="25" t="n">
        <f>6682</f>
        <v>6682.0</v>
      </c>
      <c r="I43" s="37" t="n">
        <f>1058</f>
        <v>1058.0</v>
      </c>
      <c r="J43" s="25" t="n">
        <f>16053515</f>
        <v>1.6053515E7</v>
      </c>
      <c r="K43" s="37" t="n">
        <f>7500000</f>
        <v>7500000.0</v>
      </c>
      <c r="L43" s="25" t="n">
        <f>53580959</f>
        <v>5.3580959E7</v>
      </c>
      <c r="M43" s="37" t="n">
        <f>47754400</f>
        <v>4.77544E7</v>
      </c>
      <c r="N43" s="25" t="n">
        <f>69634474</f>
        <v>6.9634474E7</v>
      </c>
      <c r="O43" s="37" t="n">
        <f>55254400</f>
        <v>5.52544E7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