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<sst xmlns="http://schemas.openxmlformats.org/spreadsheetml/2006/main" count="528" uniqueCount="129">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</sst>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DATE(2026,09,25)</f>
        <v>46290.0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DATE(2026,09,25)</f>
        <v>46290.0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842212.0</f>
        <v>842212.0</v>
      </c>
      <c r="E12" s="18" t="n">
        <f>33479.0</f>
        <v>33479.0</v>
      </c>
      <c r="F12" s="19" t="n">
        <f>1.0</f>
        <v>1.0</v>
      </c>
      <c r="G12" s="17" t="n">
        <f>6090116668270.0</f>
        <v>6.09011666827E12</v>
      </c>
      <c r="H12" s="18" t="n">
        <f>256448315470.0</f>
        <v>2.5644831547E11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373164.0</f>
        <v>373164.0</v>
      </c>
      <c r="E13" s="22" t="n">
        <f>17313.0</f>
        <v>17313.0</v>
      </c>
      <c r="F13" s="23" t="n">
        <f>1.0</f>
        <v>1.0</v>
      </c>
      <c r="G13" s="21" t="n">
        <f>4918943328950.0</f>
        <v>4.91894332895E12</v>
      </c>
      <c r="H13" s="22" t="n">
        <f>386176998100.0</f>
        <v>3.861769981E11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354094.0</f>
        <v>354094.0</v>
      </c>
      <c r="E14" s="22" t="n">
        <f>29480.0</f>
        <v>29480.0</v>
      </c>
      <c r="F14" s="23" t="n">
        <f>1.0</f>
        <v>1.0</v>
      </c>
      <c r="G14" s="21" t="n">
        <f>6016240306848.0</f>
        <v>6.016240306848E12</v>
      </c>
      <c r="H14" s="22" t="n">
        <f>1084285746873.0</f>
        <v>1.084285746873E12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1569470.0</f>
        <v>1569470.0</v>
      </c>
      <c r="E15" s="26" t="n">
        <f>80272.0</f>
        <v>80272.0</v>
      </c>
      <c r="F15" s="27" t="n">
        <f>1.0</f>
        <v>1.0</v>
      </c>
      <c r="G15" s="25" t="n">
        <f>17025300304068.0</f>
        <v>1.7025300304068E13</v>
      </c>
      <c r="H15" s="26" t="n">
        <f>1726911060443.0</f>
        <v>1.726911060443E12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21035.0</f>
        <v>21035.0</v>
      </c>
      <c r="E16" s="18" t="n">
        <f>100.0</f>
        <v>100.0</v>
      </c>
      <c r="F16" s="19" t="n">
        <f>0.025</f>
        <v>0.025</v>
      </c>
      <c r="G16" s="17" t="n">
        <f>2347028397500.0</f>
        <v>2.3470283975E12</v>
      </c>
      <c r="H16" s="18" t="n">
        <f>12443250000.0</f>
        <v>1.244325E10</v>
      </c>
      <c r="I16" s="19" t="n">
        <f>0.385</f>
        <v>0.385</v>
      </c>
    </row>
    <row r="17" spans="1:9" ht="24.9" customHeight="1">
      <c r="A17" s="41"/>
      <c r="B17" s="39"/>
      <c r="C17" s="20" t="s">
        <v>16</v>
      </c>
      <c r="D17" s="21" t="n">
        <f>26521.0</f>
        <v>26521.0</v>
      </c>
      <c r="E17" s="22" t="n">
        <f>2042.0</f>
        <v>2042.0</v>
      </c>
      <c r="F17" s="23" t="n">
        <f>0.071</f>
        <v>0.071</v>
      </c>
      <c r="G17" s="21" t="n">
        <f>2456431972500.0</f>
        <v>2.4564319725E12</v>
      </c>
      <c r="H17" s="22" t="n">
        <f>253604025000.0</f>
        <v>2.53604025E11</v>
      </c>
      <c r="I17" s="23" t="n">
        <f>0.499</f>
        <v>0.499</v>
      </c>
    </row>
    <row r="18" spans="1:9" ht="24.9" customHeight="1">
      <c r="A18" s="41"/>
      <c r="B18" s="39"/>
      <c r="C18" s="20" t="s">
        <v>17</v>
      </c>
      <c r="D18" s="21" t="n">
        <f>25642.0</f>
        <v>25642.0</v>
      </c>
      <c r="E18" s="22" t="n">
        <f>2828.0</f>
        <v>2828.0</v>
      </c>
      <c r="F18" s="23" t="n">
        <f>0.072</f>
        <v>0.072</v>
      </c>
      <c r="G18" s="21" t="n">
        <f>2581405878125.0</f>
        <v>2.581405878125E12</v>
      </c>
      <c r="H18" s="22" t="n">
        <f>351262935000.0</f>
        <v>3.51262935E11</v>
      </c>
      <c r="I18" s="23" t="n">
        <f>0.429</f>
        <v>0.429</v>
      </c>
    </row>
    <row r="19" spans="1:9" ht="24.9" customHeight="1">
      <c r="A19" s="41"/>
      <c r="B19" s="39"/>
      <c r="C19" s="24" t="s">
        <v>18</v>
      </c>
      <c r="D19" s="25" t="n">
        <f>73198.0</f>
        <v>73198.0</v>
      </c>
      <c r="E19" s="26" t="n">
        <f>4970.0</f>
        <v>4970.0</v>
      </c>
      <c r="F19" s="27" t="n">
        <f>0.047</f>
        <v>0.047</v>
      </c>
      <c r="G19" s="25" t="n">
        <f>7384866248125.0</f>
        <v>7.384866248125E12</v>
      </c>
      <c r="H19" s="26" t="n">
        <f>617310210000.0</f>
        <v>6.1731021E11</v>
      </c>
      <c r="I19" s="27" t="n">
        <f>0.434</f>
        <v>0.434</v>
      </c>
    </row>
    <row r="20" spans="1:9" ht="24.9" customHeight="1">
      <c r="A20" s="41"/>
      <c r="B20" s="39" t="s">
        <v>21</v>
      </c>
      <c r="C20" s="16" t="s">
        <v>15</v>
      </c>
      <c r="D20" s="17" t="n">
        <f>807041.0</f>
        <v>807041.0</v>
      </c>
      <c r="E20" s="18" t="n">
        <f>33379.0</f>
        <v>33379.0</v>
      </c>
      <c r="F20" s="19" t="n">
        <f>0.958</f>
        <v>0.958</v>
      </c>
      <c r="G20" s="17" t="n">
        <f>3596763579720.0</f>
        <v>3.59676357972E12</v>
      </c>
      <c r="H20" s="18" t="n">
        <f>244005065470.0</f>
        <v>2.4400506547E11</v>
      </c>
      <c r="I20" s="19" t="n">
        <f>0.591</f>
        <v>0.591</v>
      </c>
    </row>
    <row r="21" spans="1:9" ht="24.9" customHeight="1">
      <c r="A21" s="41"/>
      <c r="B21" s="39"/>
      <c r="C21" s="20" t="s">
        <v>16</v>
      </c>
      <c r="D21" s="21" t="n">
        <f>342719.0</f>
        <v>342719.0</v>
      </c>
      <c r="E21" s="22" t="n">
        <f>15271.0</f>
        <v>15271.0</v>
      </c>
      <c r="F21" s="23" t="n">
        <f>0.918</f>
        <v>0.918</v>
      </c>
      <c r="G21" s="21" t="n">
        <f>2418978124000.0</f>
        <v>2.418978124E12</v>
      </c>
      <c r="H21" s="22" t="n">
        <f>132572973100.0</f>
        <v>1.325729731E11</v>
      </c>
      <c r="I21" s="23" t="n">
        <f>0.492</f>
        <v>0.492</v>
      </c>
    </row>
    <row r="22" spans="1:9" ht="24.9" customHeight="1">
      <c r="A22" s="41"/>
      <c r="B22" s="39"/>
      <c r="C22" s="20" t="s">
        <v>17</v>
      </c>
      <c r="D22" s="21" t="n">
        <f>319007.0</f>
        <v>319007.0</v>
      </c>
      <c r="E22" s="22" t="n">
        <f>25632.0</f>
        <v>25632.0</v>
      </c>
      <c r="F22" s="23" t="n">
        <f>0.901</f>
        <v>0.901</v>
      </c>
      <c r="G22" s="21" t="n">
        <f>3342078207323.0</f>
        <v>3.342078207323E12</v>
      </c>
      <c r="H22" s="22" t="n">
        <f>710733069873.0</f>
        <v>7.10733069873E11</v>
      </c>
      <c r="I22" s="23" t="n">
        <f>0.556</f>
        <v>0.556</v>
      </c>
    </row>
    <row r="23" spans="1:9" ht="24.9" customHeight="1">
      <c r="A23" s="41"/>
      <c r="B23" s="39"/>
      <c r="C23" s="24" t="s">
        <v>18</v>
      </c>
      <c r="D23" s="25" t="n">
        <f>1468767.0</f>
        <v>1468767.0</v>
      </c>
      <c r="E23" s="26" t="n">
        <f>74282.0</f>
        <v>74282.0</v>
      </c>
      <c r="F23" s="27" t="n">
        <f>0.936</f>
        <v>0.936</v>
      </c>
      <c r="G23" s="25" t="n">
        <f>9357819911043.0</f>
        <v>9.357819911043E12</v>
      </c>
      <c r="H23" s="26" t="n">
        <f>1087311108443.0</f>
        <v>1.087311108443E12</v>
      </c>
      <c r="I23" s="27" t="n">
        <f>0.55</f>
        <v>0.55</v>
      </c>
    </row>
    <row r="24" spans="1:9" ht="24.9" customHeight="1">
      <c r="A24" s="41"/>
      <c r="B24" s="39" t="s">
        <v>22</v>
      </c>
      <c r="C24" s="16" t="s">
        <v>15</v>
      </c>
      <c r="D24" s="17" t="n">
        <f>13872.0</f>
        <v>13872.0</v>
      </c>
      <c r="E24" s="18" t="n">
        <f>0.0</f>
        <v>0.0</v>
      </c>
      <c r="F24" s="19" t="n">
        <f>0.016</f>
        <v>0.016</v>
      </c>
      <c r="G24" s="17" t="n">
        <f>145162142050.0</f>
        <v>1.4516214205E11</v>
      </c>
      <c r="H24" s="18" t="n">
        <f>0.0</f>
        <v>0.0</v>
      </c>
      <c r="I24" s="19" t="n">
        <f>0.024</f>
        <v>0.024</v>
      </c>
    </row>
    <row r="25" spans="1:9" ht="24.9" customHeight="1">
      <c r="A25" s="41"/>
      <c r="B25" s="39"/>
      <c r="C25" s="20" t="s">
        <v>16</v>
      </c>
      <c r="D25" s="21" t="n">
        <f>3747.0</f>
        <v>3747.0</v>
      </c>
      <c r="E25" s="22" t="n">
        <f>0.0</f>
        <v>0.0</v>
      </c>
      <c r="F25" s="23" t="n">
        <f>0.01</f>
        <v>0.01</v>
      </c>
      <c r="G25" s="21" t="n">
        <f>42755077450.0</f>
        <v>4.275507745E10</v>
      </c>
      <c r="H25" s="22" t="n">
        <f>0.0</f>
        <v>0.0</v>
      </c>
      <c r="I25" s="23" t="n">
        <f>0.009</f>
        <v>0.009</v>
      </c>
    </row>
    <row r="26" spans="1:9" ht="24.9" customHeight="1">
      <c r="A26" s="41"/>
      <c r="B26" s="39"/>
      <c r="C26" s="20" t="s">
        <v>17</v>
      </c>
      <c r="D26" s="21" t="n">
        <f>7944.0</f>
        <v>7944.0</v>
      </c>
      <c r="E26" s="22" t="n">
        <f>1000.0</f>
        <v>1000.0</v>
      </c>
      <c r="F26" s="23" t="n">
        <f>0.022</f>
        <v>0.022</v>
      </c>
      <c r="G26" s="21" t="n">
        <f>86322564600.0</f>
        <v>8.63225646E10</v>
      </c>
      <c r="H26" s="22" t="n">
        <f>22270000000.0</f>
        <v>2.227E10</v>
      </c>
      <c r="I26" s="23" t="n">
        <f>0.014</f>
        <v>0.014</v>
      </c>
    </row>
    <row r="27" spans="1:9" ht="24.9" customHeight="1">
      <c r="A27" s="42"/>
      <c r="B27" s="39"/>
      <c r="C27" s="24" t="s">
        <v>18</v>
      </c>
      <c r="D27" s="25" t="n">
        <f>25563.0</f>
        <v>25563.0</v>
      </c>
      <c r="E27" s="26" t="n">
        <f>1000.0</f>
        <v>1000.0</v>
      </c>
      <c r="F27" s="27" t="n">
        <f>0.016</f>
        <v>0.016</v>
      </c>
      <c r="G27" s="25" t="n">
        <f>274239784100.0</f>
        <v>2.742397841E11</v>
      </c>
      <c r="H27" s="26" t="n">
        <f>22270000000.0</f>
        <v>2.227E10</v>
      </c>
      <c r="I27" s="27" t="n">
        <f>0.016</f>
        <v>0.016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264.0</f>
        <v>264.0</v>
      </c>
      <c r="E28" s="18" t="n">
        <f>0.0</f>
        <v>0.0</v>
      </c>
      <c r="F28" s="19" t="n">
        <f>0.0</f>
        <v>0.0</v>
      </c>
      <c r="G28" s="17" t="n">
        <f>1162549000.0</f>
        <v>1.162549E9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177.0</f>
        <v>177.0</v>
      </c>
      <c r="E29" s="22" t="n">
        <f>0.0</f>
        <v>0.0</v>
      </c>
      <c r="F29" s="23" t="n">
        <f>0.0</f>
        <v>0.0</v>
      </c>
      <c r="G29" s="21" t="n">
        <f>778155000.0</f>
        <v>7.78155E8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1501.0</f>
        <v>1501.0</v>
      </c>
      <c r="E30" s="22" t="n">
        <f>20.0</f>
        <v>20.0</v>
      </c>
      <c r="F30" s="23" t="n">
        <f>0.004</f>
        <v>0.004</v>
      </c>
      <c r="G30" s="21" t="n">
        <f>6433656800.0</f>
        <v>6.4336568E9</v>
      </c>
      <c r="H30" s="22" t="n">
        <f>19742000.0</f>
        <v>1.9742E7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1942.0</f>
        <v>1942.0</v>
      </c>
      <c r="E31" s="26" t="n">
        <f>20.0</f>
        <v>20.0</v>
      </c>
      <c r="F31" s="27" t="n">
        <f>0.001</f>
        <v>0.001</v>
      </c>
      <c r="G31" s="25" t="n">
        <f>8374360800.0</f>
        <v>8.3743608E9</v>
      </c>
      <c r="H31" s="26" t="n">
        <f>19742000.0</f>
        <v>1.9742E7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46290.0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46290.0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18389</f>
        <v>18389.0</v>
      </c>
      <c r="E11" s="18" t="n">
        <f>3241</f>
        <v>3241.0</v>
      </c>
      <c r="F11" s="19" t="n">
        <f>1</f>
        <v>1.0</v>
      </c>
      <c r="G11" s="17" t="n">
        <f>1998445726</f>
        <v>1.998445726E9</v>
      </c>
      <c r="H11" s="18" t="n">
        <f>729158926</f>
        <v>7.29158926E8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32444</f>
        <v>32444.0</v>
      </c>
      <c r="E12" s="22" t="n">
        <f>3734</f>
        <v>3734.0</v>
      </c>
      <c r="F12" s="23" t="n">
        <f>1</f>
        <v>1.0</v>
      </c>
      <c r="G12" s="21" t="n">
        <f>2930076922</f>
        <v>2.930076922E9</v>
      </c>
      <c r="H12" s="22" t="n">
        <f>1830726642</f>
        <v>1.830726642E9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37886</f>
        <v>37886.0</v>
      </c>
      <c r="E13" s="22" t="n">
        <f>17527</f>
        <v>17527.0</v>
      </c>
      <c r="F13" s="23" t="n">
        <f>1</f>
        <v>1.0</v>
      </c>
      <c r="G13" s="21" t="n">
        <f>13970684842</f>
        <v>1.3970684842E10</v>
      </c>
      <c r="H13" s="22" t="n">
        <f>12349370032</f>
        <v>1.2349370032E10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88719</f>
        <v>88719.0</v>
      </c>
      <c r="E14" s="26" t="n">
        <f>24502</f>
        <v>24502.0</v>
      </c>
      <c r="F14" s="27" t="n">
        <f>1</f>
        <v>1.0</v>
      </c>
      <c r="G14" s="25" t="n">
        <f>18899207490</f>
        <v>1.889920749E10</v>
      </c>
      <c r="H14" s="26" t="n">
        <f>14909255600</f>
        <v>1.49092556E10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30</f>
        <v>30.0</v>
      </c>
      <c r="E15" s="18" t="n">
        <f>0</f>
        <v>0.0</v>
      </c>
      <c r="F15" s="19" t="n">
        <f>0.002</f>
        <v>0.002</v>
      </c>
      <c r="G15" s="17" t="n">
        <f>7150000</f>
        <v>7150000.0</v>
      </c>
      <c r="H15" s="18" t="n">
        <f>0</f>
        <v>0.0</v>
      </c>
      <c r="I15" s="19" t="n">
        <f>0.004</f>
        <v>0.004</v>
      </c>
    </row>
    <row r="16" spans="1:9" ht="24.9" customHeight="1">
      <c r="A16" s="41"/>
      <c r="B16" s="39"/>
      <c r="C16" s="20" t="s">
        <v>16</v>
      </c>
      <c r="D16" s="21" t="n">
        <f>101</f>
        <v>101.0</v>
      </c>
      <c r="E16" s="22" t="n">
        <f>0</f>
        <v>0.0</v>
      </c>
      <c r="F16" s="23" t="n">
        <f>0.003</f>
        <v>0.003</v>
      </c>
      <c r="G16" s="21" t="n">
        <f>14290000</f>
        <v>1.429E7</v>
      </c>
      <c r="H16" s="22" t="n">
        <f>0</f>
        <v>0.0</v>
      </c>
      <c r="I16" s="23" t="n">
        <f>0.005</f>
        <v>0.005</v>
      </c>
    </row>
    <row r="17" spans="1:9" ht="24.9" customHeight="1">
      <c r="A17" s="41"/>
      <c r="B17" s="39"/>
      <c r="C17" s="20" t="s">
        <v>17</v>
      </c>
      <c r="D17" s="21" t="n">
        <f>135</f>
        <v>135.0</v>
      </c>
      <c r="E17" s="22" t="n">
        <f>0</f>
        <v>0.0</v>
      </c>
      <c r="F17" s="23" t="n">
        <f>0.004</f>
        <v>0.004</v>
      </c>
      <c r="G17" s="21" t="n">
        <f>12000000</f>
        <v>1.2E7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266</f>
        <v>266.0</v>
      </c>
      <c r="E18" s="26" t="n">
        <f>0</f>
        <v>0.0</v>
      </c>
      <c r="F18" s="27" t="n">
        <f>0.003</f>
        <v>0.003</v>
      </c>
      <c r="G18" s="25" t="n">
        <f>33440000</f>
        <v>3.344E7</v>
      </c>
      <c r="H18" s="26" t="n">
        <f>0</f>
        <v>0.0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18359</f>
        <v>18359.0</v>
      </c>
      <c r="E19" s="18" t="n">
        <f>3241</f>
        <v>3241.0</v>
      </c>
      <c r="F19" s="19" t="n">
        <f>0.998</f>
        <v>0.998</v>
      </c>
      <c r="G19" s="17" t="n">
        <f>1991295726</f>
        <v>1.991295726E9</v>
      </c>
      <c r="H19" s="18" t="n">
        <f>729158926</f>
        <v>7.29158926E8</v>
      </c>
      <c r="I19" s="19" t="n">
        <f>0.996</f>
        <v>0.996</v>
      </c>
    </row>
    <row r="20" spans="1:9" ht="24.9" customHeight="1">
      <c r="A20" s="41"/>
      <c r="B20" s="39"/>
      <c r="C20" s="20" t="s">
        <v>16</v>
      </c>
      <c r="D20" s="21" t="n">
        <f>17955</f>
        <v>17955.0</v>
      </c>
      <c r="E20" s="22" t="n">
        <f>3734</f>
        <v>3734.0</v>
      </c>
      <c r="F20" s="23" t="n">
        <f>0.553</f>
        <v>0.553</v>
      </c>
      <c r="G20" s="21" t="n">
        <f>2900433942</f>
        <v>2.900433942E9</v>
      </c>
      <c r="H20" s="22" t="n">
        <f>1830726642</f>
        <v>1.830726642E9</v>
      </c>
      <c r="I20" s="23" t="n">
        <f>0.99</f>
        <v>0.99</v>
      </c>
    </row>
    <row r="21" spans="1:9" ht="24.9" customHeight="1">
      <c r="A21" s="41"/>
      <c r="B21" s="39"/>
      <c r="C21" s="20" t="s">
        <v>17</v>
      </c>
      <c r="D21" s="21" t="n">
        <f>31688</f>
        <v>31688.0</v>
      </c>
      <c r="E21" s="22" t="n">
        <f>17527</f>
        <v>17527.0</v>
      </c>
      <c r="F21" s="23" t="n">
        <f>0.836</f>
        <v>0.836</v>
      </c>
      <c r="G21" s="21" t="n">
        <f>13938970132</f>
        <v>1.3938970132E10</v>
      </c>
      <c r="H21" s="22" t="n">
        <f>12349370032</f>
        <v>1.2349370032E10</v>
      </c>
      <c r="I21" s="23" t="n">
        <f>0.998</f>
        <v>0.998</v>
      </c>
    </row>
    <row r="22" spans="1:9" ht="24.9" customHeight="1">
      <c r="A22" s="41"/>
      <c r="B22" s="39"/>
      <c r="C22" s="24" t="s">
        <v>18</v>
      </c>
      <c r="D22" s="25" t="n">
        <f>68002</f>
        <v>68002.0</v>
      </c>
      <c r="E22" s="26" t="n">
        <f>24502</f>
        <v>24502.0</v>
      </c>
      <c r="F22" s="27" t="n">
        <f>0.766</f>
        <v>0.766</v>
      </c>
      <c r="G22" s="25" t="n">
        <f>18830699800</f>
        <v>1.88306998E10</v>
      </c>
      <c r="H22" s="26" t="n">
        <f>14909255600</f>
        <v>1.49092556E10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14388</f>
        <v>14388.0</v>
      </c>
      <c r="E24" s="22" t="n">
        <f>0</f>
        <v>0.0</v>
      </c>
      <c r="F24" s="23" t="n">
        <f>0.443</f>
        <v>0.443</v>
      </c>
      <c r="G24" s="21" t="n">
        <f>15352980</f>
        <v>1.535298E7</v>
      </c>
      <c r="H24" s="22" t="n">
        <f>0</f>
        <v>0.0</v>
      </c>
      <c r="I24" s="23" t="n">
        <f>0.005</f>
        <v>0.005</v>
      </c>
    </row>
    <row r="25" spans="1:9" ht="24.9" customHeight="1">
      <c r="A25" s="41"/>
      <c r="B25" s="39"/>
      <c r="C25" s="20" t="s">
        <v>17</v>
      </c>
      <c r="D25" s="21" t="n">
        <f>6063</f>
        <v>6063.0</v>
      </c>
      <c r="E25" s="22" t="n">
        <f>0</f>
        <v>0.0</v>
      </c>
      <c r="F25" s="23" t="n">
        <f>0.16</f>
        <v>0.16</v>
      </c>
      <c r="G25" s="21" t="n">
        <f>19714710</f>
        <v>1.971471E7</v>
      </c>
      <c r="H25" s="22" t="n">
        <f>0</f>
        <v>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20451</f>
        <v>20451.0</v>
      </c>
      <c r="E26" s="26" t="n">
        <f>0</f>
        <v>0.0</v>
      </c>
      <c r="F26" s="27" t="n">
        <f>0.231</f>
        <v>0.231</v>
      </c>
      <c r="G26" s="25" t="n">
        <f>35067690</f>
        <v>3.506769E7</v>
      </c>
      <c r="H26" s="26" t="n">
        <f>0</f>
        <v>0.0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46290.0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46290.0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10338.0</v>
      </c>
      <c r="F12" s="18" t="n">
        <f>424</f>
        <v>424.0</v>
      </c>
      <c r="G12" s="17" t="n">
        <v>6.76479269E11</v>
      </c>
      <c r="H12" s="18" t="n">
        <f>27762589000</f>
        <v>2.7762589E10</v>
      </c>
    </row>
    <row r="13" spans="1:8" ht="24.9" customHeight="1">
      <c r="A13" s="51"/>
      <c r="B13" s="57"/>
      <c r="C13" s="39"/>
      <c r="D13" s="20" t="s">
        <v>16</v>
      </c>
      <c r="E13" s="21" t="n">
        <v>7425.0</v>
      </c>
      <c r="F13" s="22" t="n">
        <f>482</f>
        <v>482.0</v>
      </c>
      <c r="G13" s="21" t="n">
        <v>4.8833083635E11</v>
      </c>
      <c r="H13" s="22" t="n">
        <f>31645612350</f>
        <v>3.164561235E10</v>
      </c>
    </row>
    <row r="14" spans="1:8" ht="24.9" customHeight="1">
      <c r="A14" s="51"/>
      <c r="B14" s="57"/>
      <c r="C14" s="39"/>
      <c r="D14" s="20" t="s">
        <v>17</v>
      </c>
      <c r="E14" s="21" t="n">
        <v>12573.0</v>
      </c>
      <c r="F14" s="22" t="n">
        <f>3895</f>
        <v>3895.0</v>
      </c>
      <c r="G14" s="21" t="n">
        <v>8.3190988466E11</v>
      </c>
      <c r="H14" s="22" t="n">
        <f>257785514660</f>
        <v>2.5778551466E11</v>
      </c>
    </row>
    <row r="15" spans="1:8" ht="24.9" customHeight="1">
      <c r="A15" s="51"/>
      <c r="B15" s="57"/>
      <c r="C15" s="39"/>
      <c r="D15" s="24" t="s">
        <v>18</v>
      </c>
      <c r="E15" s="25" t="n">
        <v>30336.0</v>
      </c>
      <c r="F15" s="26" t="n">
        <f>4801</f>
        <v>4801.0</v>
      </c>
      <c r="G15" s="25" t="n">
        <v>1.99671999001E12</v>
      </c>
      <c r="H15" s="26" t="n">
        <f>317193716010</f>
        <v>3.1719371601E11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292392.0</v>
      </c>
      <c r="F16" s="18" t="n">
        <f>32590</f>
        <v>32590.0</v>
      </c>
      <c r="G16" s="17" t="n">
        <v>1.91295921879E12</v>
      </c>
      <c r="H16" s="18" t="n">
        <f>213105892790</f>
        <v>2.1310589279E11</v>
      </c>
    </row>
    <row r="17" spans="1:8" ht="24.9" customHeight="1">
      <c r="A17" s="51"/>
      <c r="B17" s="57"/>
      <c r="C17" s="39"/>
      <c r="D17" s="20" t="s">
        <v>16</v>
      </c>
      <c r="E17" s="21" t="n">
        <v>131779.0</v>
      </c>
      <c r="F17" s="22" t="n">
        <f>14237</f>
        <v>14237.0</v>
      </c>
      <c r="G17" s="21" t="n">
        <v>8.662735131E11</v>
      </c>
      <c r="H17" s="22" t="n">
        <f>93618395100</f>
        <v>9.36183951E10</v>
      </c>
    </row>
    <row r="18" spans="1:8" ht="24.9" customHeight="1">
      <c r="A18" s="51"/>
      <c r="B18" s="57"/>
      <c r="C18" s="39"/>
      <c r="D18" s="20" t="s">
        <v>17</v>
      </c>
      <c r="E18" s="21" t="n">
        <v>111562.0</v>
      </c>
      <c r="F18" s="22" t="n">
        <f>11564</f>
        <v>11564.0</v>
      </c>
      <c r="G18" s="21" t="n">
        <v>7.3774084443E11</v>
      </c>
      <c r="H18" s="22" t="n">
        <f>76438685430</f>
        <v>7.643868543E10</v>
      </c>
    </row>
    <row r="19" spans="1:8" ht="24.9" customHeight="1">
      <c r="A19" s="51"/>
      <c r="B19" s="57"/>
      <c r="C19" s="39"/>
      <c r="D19" s="24" t="s">
        <v>18</v>
      </c>
      <c r="E19" s="25" t="n">
        <v>535733.0</v>
      </c>
      <c r="F19" s="26" t="n">
        <f>58391</f>
        <v>58391.0</v>
      </c>
      <c r="G19" s="25" t="n">
        <v>3.51697357632E12</v>
      </c>
      <c r="H19" s="26" t="n">
        <f>383162973320</f>
        <v>3.8316297332E11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480348.0</v>
      </c>
      <c r="F20" s="18" t="str">
        <f>"－"</f>
        <v>－</v>
      </c>
      <c r="G20" s="17" t="n">
        <v>3.142613185E11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172190.0</v>
      </c>
      <c r="F21" s="22" t="str">
        <f>"－"</f>
        <v>－</v>
      </c>
      <c r="G21" s="21" t="n">
        <v>1.131741898E11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145613.0</v>
      </c>
      <c r="F22" s="22" t="str">
        <f>"－"</f>
        <v>－</v>
      </c>
      <c r="G22" s="21" t="n">
        <v>9.626838935E10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798151.0</v>
      </c>
      <c r="F23" s="26" t="str">
        <f>"－"</f>
        <v>－</v>
      </c>
      <c r="G23" s="25" t="n">
        <v>5.2370389765E11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16328.0</v>
      </c>
      <c r="F24" s="18" t="n">
        <f>51</f>
        <v>51.0</v>
      </c>
      <c r="G24" s="17" t="n">
        <v>6.63829637E11</v>
      </c>
      <c r="H24" s="18" t="n">
        <f>2076742000</f>
        <v>2.076742E9</v>
      </c>
    </row>
    <row r="25" spans="1:8" ht="24.9" customHeight="1">
      <c r="A25" s="51"/>
      <c r="B25" s="57"/>
      <c r="C25" s="39"/>
      <c r="D25" s="20" t="s">
        <v>16</v>
      </c>
      <c r="E25" s="21" t="n">
        <v>22441.0</v>
      </c>
      <c r="F25" s="22" t="n">
        <f>124</f>
        <v>124.0</v>
      </c>
      <c r="G25" s="21" t="n">
        <v>9.1715735E11</v>
      </c>
      <c r="H25" s="22" t="n">
        <f>5059620000</f>
        <v>5.05962E9</v>
      </c>
    </row>
    <row r="26" spans="1:8" ht="24.9" customHeight="1">
      <c r="A26" s="51"/>
      <c r="B26" s="57"/>
      <c r="C26" s="39"/>
      <c r="D26" s="20" t="s">
        <v>17</v>
      </c>
      <c r="E26" s="21" t="n">
        <v>39994.0</v>
      </c>
      <c r="F26" s="22" t="n">
        <f>9074</f>
        <v>9074.0</v>
      </c>
      <c r="G26" s="21" t="n">
        <v>1.641562352394E12</v>
      </c>
      <c r="H26" s="22" t="n">
        <f>372387782394</f>
        <v>3.72387782394E11</v>
      </c>
    </row>
    <row r="27" spans="1:8" ht="24.9" customHeight="1">
      <c r="A27" s="51"/>
      <c r="B27" s="57"/>
      <c r="C27" s="39"/>
      <c r="D27" s="24" t="s">
        <v>18</v>
      </c>
      <c r="E27" s="25" t="n">
        <v>78763.0</v>
      </c>
      <c r="F27" s="26" t="n">
        <f>9249</f>
        <v>9249.0</v>
      </c>
      <c r="G27" s="25" t="n">
        <v>3.222549339394E12</v>
      </c>
      <c r="H27" s="26" t="n">
        <f>379524144394</f>
        <v>3.79524144394E11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6320.0</v>
      </c>
      <c r="F28" s="18" t="n">
        <f>204</f>
        <v>204.0</v>
      </c>
      <c r="G28" s="17" t="n">
        <v>2.568558255E10</v>
      </c>
      <c r="H28" s="18" t="n">
        <f>829421300</f>
        <v>8.294213E8</v>
      </c>
    </row>
    <row r="29" spans="1:8" ht="24.9" customHeight="1">
      <c r="A29" s="51"/>
      <c r="B29" s="57"/>
      <c r="C29" s="39"/>
      <c r="D29" s="20" t="s">
        <v>16</v>
      </c>
      <c r="E29" s="21" t="n">
        <v>7259.0</v>
      </c>
      <c r="F29" s="22" t="n">
        <f>256</f>
        <v>256.0</v>
      </c>
      <c r="G29" s="21" t="n">
        <v>2.965112225E10</v>
      </c>
      <c r="H29" s="22" t="n">
        <f>1045575250</f>
        <v>1.04557525E9</v>
      </c>
    </row>
    <row r="30" spans="1:8" ht="24.9" customHeight="1">
      <c r="A30" s="51"/>
      <c r="B30" s="57"/>
      <c r="C30" s="39"/>
      <c r="D30" s="20" t="s">
        <v>17</v>
      </c>
      <c r="E30" s="21" t="n">
        <v>6730.0</v>
      </c>
      <c r="F30" s="22" t="n">
        <f>311</f>
        <v>311.0</v>
      </c>
      <c r="G30" s="21" t="n">
        <v>2.762487804E10</v>
      </c>
      <c r="H30" s="22" t="n">
        <f>1276485040</f>
        <v>1.27648504E9</v>
      </c>
    </row>
    <row r="31" spans="1:8" ht="24.9" customHeight="1">
      <c r="A31" s="51"/>
      <c r="B31" s="57"/>
      <c r="C31" s="39"/>
      <c r="D31" s="24" t="s">
        <v>18</v>
      </c>
      <c r="E31" s="25" t="n">
        <v>20309.0</v>
      </c>
      <c r="F31" s="26" t="n">
        <f>771</f>
        <v>771.0</v>
      </c>
      <c r="G31" s="25" t="n">
        <v>8.296158284E10</v>
      </c>
      <c r="H31" s="26" t="n">
        <f>3151481590</f>
        <v>3.15148159E9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495.0</v>
      </c>
      <c r="F36" s="18" t="n">
        <f>2</f>
        <v>2.0</v>
      </c>
      <c r="G36" s="17" t="n">
        <v>1.80598748E9</v>
      </c>
      <c r="H36" s="18" t="n">
        <f>7301480</f>
        <v>7301480.0</v>
      </c>
    </row>
    <row r="37" spans="1:8" ht="24.9" customHeight="1">
      <c r="A37" s="51"/>
      <c r="B37" s="57"/>
      <c r="C37" s="39"/>
      <c r="D37" s="20" t="s">
        <v>16</v>
      </c>
      <c r="E37" s="21" t="n">
        <v>672.0</v>
      </c>
      <c r="F37" s="22" t="n">
        <f>1</f>
        <v>1.0</v>
      </c>
      <c r="G37" s="21" t="n">
        <v>2.459745E9</v>
      </c>
      <c r="H37" s="22" t="n">
        <f>3668000</f>
        <v>3668000.0</v>
      </c>
    </row>
    <row r="38" spans="1:8" ht="24.9" customHeight="1">
      <c r="A38" s="51"/>
      <c r="B38" s="57"/>
      <c r="C38" s="39"/>
      <c r="D38" s="20" t="s">
        <v>17</v>
      </c>
      <c r="E38" s="21" t="n">
        <v>1584.0</v>
      </c>
      <c r="F38" s="22" t="n">
        <f>767</f>
        <v>767.0</v>
      </c>
      <c r="G38" s="21" t="n">
        <v>5.826698409E9</v>
      </c>
      <c r="H38" s="22" t="n">
        <f>2821634909</f>
        <v>2.821634909E9</v>
      </c>
    </row>
    <row r="39" spans="1:8" ht="24.9" customHeight="1">
      <c r="A39" s="51"/>
      <c r="B39" s="57"/>
      <c r="C39" s="39"/>
      <c r="D39" s="24" t="s">
        <v>18</v>
      </c>
      <c r="E39" s="25" t="n">
        <v>2751.0</v>
      </c>
      <c r="F39" s="26" t="n">
        <f>770</f>
        <v>770.0</v>
      </c>
      <c r="G39" s="25" t="n">
        <v>1.0092430889E10</v>
      </c>
      <c r="H39" s="26" t="n">
        <f>2832604389</f>
        <v>2.832604389E9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156.0</v>
      </c>
      <c r="F45" s="22" t="n">
        <f>156</f>
        <v>156.0</v>
      </c>
      <c r="G45" s="21" t="n">
        <v>1.1707784E9</v>
      </c>
      <c r="H45" s="22" t="n">
        <f>1170778400</f>
        <v>1.1707784E9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156.0</v>
      </c>
      <c r="F47" s="26" t="n">
        <f>156</f>
        <v>156.0</v>
      </c>
      <c r="G47" s="25" t="n">
        <v>1.1707784E9</v>
      </c>
      <c r="H47" s="26" t="n">
        <f>1170778400</f>
        <v>1.1707784E9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81.0</v>
      </c>
      <c r="F48" s="18" t="n">
        <f>81</f>
        <v>81.0</v>
      </c>
      <c r="G48" s="17" t="n">
        <v>1.40352E8</v>
      </c>
      <c r="H48" s="18" t="n">
        <f>140352000</f>
        <v>1.40352E8</v>
      </c>
    </row>
    <row r="49" spans="1:8" ht="24.9" customHeight="1">
      <c r="A49" s="51"/>
      <c r="B49" s="57"/>
      <c r="C49" s="39"/>
      <c r="D49" s="20" t="s">
        <v>16</v>
      </c>
      <c r="E49" s="21" t="n">
        <v>18.0</v>
      </c>
      <c r="F49" s="22" t="n">
        <f>0</f>
        <v>0.0</v>
      </c>
      <c r="G49" s="21" t="n">
        <v>3.12195E7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299.0</v>
      </c>
      <c r="F50" s="22" t="n">
        <f>2</f>
        <v>2.0</v>
      </c>
      <c r="G50" s="21" t="n">
        <v>5.1410984E8</v>
      </c>
      <c r="H50" s="22" t="n">
        <f>3439840</f>
        <v>3439840.0</v>
      </c>
    </row>
    <row r="51" spans="1:8" ht="24.9" customHeight="1">
      <c r="A51" s="51"/>
      <c r="B51" s="57"/>
      <c r="C51" s="39"/>
      <c r="D51" s="24" t="s">
        <v>18</v>
      </c>
      <c r="E51" s="25" t="n">
        <v>398.0</v>
      </c>
      <c r="F51" s="26" t="n">
        <f>83</f>
        <v>83.0</v>
      </c>
      <c r="G51" s="25" t="n">
        <v>6.8568134E8</v>
      </c>
      <c r="H51" s="26" t="n">
        <f>143791840</f>
        <v>1.4379184E8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474.0</v>
      </c>
      <c r="F56" s="18" t="n">
        <f>13</f>
        <v>13.0</v>
      </c>
      <c r="G56" s="17" t="n">
        <v>3.775107E8</v>
      </c>
      <c r="H56" s="18" t="n">
        <f>10342700</f>
        <v>1.03427E7</v>
      </c>
    </row>
    <row r="57" spans="1:8" ht="24.9" customHeight="1">
      <c r="A57" s="51"/>
      <c r="B57" s="57"/>
      <c r="C57" s="39"/>
      <c r="D57" s="20" t="s">
        <v>16</v>
      </c>
      <c r="E57" s="21" t="n">
        <v>746.0</v>
      </c>
      <c r="F57" s="22" t="n">
        <f>11</f>
        <v>11.0</v>
      </c>
      <c r="G57" s="21" t="n">
        <v>5.891428E8</v>
      </c>
      <c r="H57" s="22" t="n">
        <f>8675800</f>
        <v>8675800.0</v>
      </c>
    </row>
    <row r="58" spans="1:8" ht="24.9" customHeight="1">
      <c r="A58" s="51"/>
      <c r="B58" s="57"/>
      <c r="C58" s="39"/>
      <c r="D58" s="20" t="s">
        <v>17</v>
      </c>
      <c r="E58" s="21" t="n">
        <v>586.0</v>
      </c>
      <c r="F58" s="22" t="n">
        <f>18</f>
        <v>18.0</v>
      </c>
      <c r="G58" s="21" t="n">
        <v>4.619027E8</v>
      </c>
      <c r="H58" s="22" t="n">
        <f>14354700</f>
        <v>1.43547E7</v>
      </c>
    </row>
    <row r="59" spans="1:8" ht="24.9" customHeight="1">
      <c r="A59" s="51"/>
      <c r="B59" s="57"/>
      <c r="C59" s="39"/>
      <c r="D59" s="24" t="s">
        <v>18</v>
      </c>
      <c r="E59" s="25" t="n">
        <v>1806.0</v>
      </c>
      <c r="F59" s="26" t="n">
        <f>42</f>
        <v>42.0</v>
      </c>
      <c r="G59" s="25" t="n">
        <v>1.4285562E9</v>
      </c>
      <c r="H59" s="26" t="n">
        <f>33373200</f>
        <v>3.33732E7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222.0</v>
      </c>
      <c r="F60" s="18" t="n">
        <f>14</f>
        <v>14.0</v>
      </c>
      <c r="G60" s="17" t="n">
        <v>1.1474491E9</v>
      </c>
      <c r="H60" s="18" t="n">
        <f>72424200</f>
        <v>7.24242E7</v>
      </c>
    </row>
    <row r="61" spans="1:8" ht="24.9" customHeight="1">
      <c r="A61" s="51"/>
      <c r="B61" s="57"/>
      <c r="C61" s="39"/>
      <c r="D61" s="20" t="s">
        <v>16</v>
      </c>
      <c r="E61" s="21" t="n">
        <v>26.0</v>
      </c>
      <c r="F61" s="22" t="n">
        <f>4</f>
        <v>4.0</v>
      </c>
      <c r="G61" s="21" t="n">
        <v>1.343002E8</v>
      </c>
      <c r="H61" s="22" t="n">
        <f>20648200</f>
        <v>2.06482E7</v>
      </c>
    </row>
    <row r="62" spans="1:8" ht="24.9" customHeight="1">
      <c r="A62" s="51"/>
      <c r="B62" s="57"/>
      <c r="C62" s="39"/>
      <c r="D62" s="20" t="s">
        <v>17</v>
      </c>
      <c r="E62" s="21" t="n">
        <v>16.0</v>
      </c>
      <c r="F62" s="22" t="n">
        <f>1</f>
        <v>1.0</v>
      </c>
      <c r="G62" s="21" t="n">
        <v>8.27461E7</v>
      </c>
      <c r="H62" s="22" t="n">
        <f>5172900</f>
        <v>5172900.0</v>
      </c>
    </row>
    <row r="63" spans="1:8" ht="24.9" customHeight="1">
      <c r="A63" s="51"/>
      <c r="B63" s="57"/>
      <c r="C63" s="39"/>
      <c r="D63" s="24" t="s">
        <v>18</v>
      </c>
      <c r="E63" s="25" t="n">
        <v>264.0</v>
      </c>
      <c r="F63" s="26" t="n">
        <f>19</f>
        <v>19.0</v>
      </c>
      <c r="G63" s="25" t="n">
        <v>1.3644954E9</v>
      </c>
      <c r="H63" s="26" t="n">
        <f>98245300</f>
        <v>9.82453E7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4.0</v>
      </c>
      <c r="F77" s="22" t="n">
        <f>0</f>
        <v>0.0</v>
      </c>
      <c r="G77" s="21" t="n">
        <v>1196500.0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8.0</v>
      </c>
      <c r="F78" s="22" t="n">
        <f>0</f>
        <v>0.0</v>
      </c>
      <c r="G78" s="21" t="n">
        <v>2372000.0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12.0</v>
      </c>
      <c r="F79" s="26" t="n">
        <f>0</f>
        <v>0.0</v>
      </c>
      <c r="G79" s="25" t="n">
        <v>3568500.0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31.0</v>
      </c>
      <c r="F92" s="18" t="n">
        <f>0</f>
        <v>0.0</v>
      </c>
      <c r="G92" s="17" t="n">
        <v>4.88941E7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3.0</v>
      </c>
      <c r="F93" s="22" t="n">
        <f>0</f>
        <v>0.0</v>
      </c>
      <c r="G93" s="21" t="n">
        <v>4730100.0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19.0</v>
      </c>
      <c r="F94" s="22" t="n">
        <f>0</f>
        <v>0.0</v>
      </c>
      <c r="G94" s="21" t="n">
        <v>2.9887E7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53.0</v>
      </c>
      <c r="F95" s="26" t="n">
        <f>0</f>
        <v>0.0</v>
      </c>
      <c r="G95" s="25" t="n">
        <v>8.35112E7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12.0</v>
      </c>
      <c r="F96" s="18" t="n">
        <f>0</f>
        <v>0.0</v>
      </c>
      <c r="G96" s="17" t="n">
        <v>2.83605E7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23.0</v>
      </c>
      <c r="F98" s="22" t="n">
        <f>0</f>
        <v>0.0</v>
      </c>
      <c r="G98" s="21" t="n">
        <v>5.41424E7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35.0</v>
      </c>
      <c r="F99" s="26" t="n">
        <f>0</f>
        <v>0.0</v>
      </c>
      <c r="G99" s="25" t="n">
        <v>8.25029E7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18330.0</v>
      </c>
      <c r="F108" s="18" t="n">
        <f>100</f>
        <v>100.0</v>
      </c>
      <c r="G108" s="17" t="n">
        <v>2.28046283E12</v>
      </c>
      <c r="H108" s="18" t="n">
        <f>12443250000</f>
        <v>1.244325E10</v>
      </c>
    </row>
    <row r="109" spans="1:8" ht="24.9" customHeight="1">
      <c r="A109" s="51"/>
      <c r="B109" s="57"/>
      <c r="C109" s="39"/>
      <c r="D109" s="20" t="s">
        <v>16</v>
      </c>
      <c r="E109" s="21" t="n">
        <v>18481.0</v>
      </c>
      <c r="F109" s="22" t="n">
        <f>2042</f>
        <v>2042.0</v>
      </c>
      <c r="G109" s="21" t="n">
        <v>2.295446515E12</v>
      </c>
      <c r="H109" s="22" t="n">
        <f>253604025000</f>
        <v>2.53604025E11</v>
      </c>
    </row>
    <row r="110" spans="1:8" ht="24.9" customHeight="1">
      <c r="A110" s="51"/>
      <c r="B110" s="57"/>
      <c r="C110" s="39"/>
      <c r="D110" s="20" t="s">
        <v>17</v>
      </c>
      <c r="E110" s="21" t="n">
        <v>19912.0</v>
      </c>
      <c r="F110" s="22" t="n">
        <f>2828</f>
        <v>2828.0</v>
      </c>
      <c r="G110" s="21" t="n">
        <v>2.473955195E12</v>
      </c>
      <c r="H110" s="22" t="n">
        <f>351262935000</f>
        <v>3.51262935E11</v>
      </c>
    </row>
    <row r="111" spans="1:8" ht="24.9" customHeight="1">
      <c r="A111" s="51"/>
      <c r="B111" s="57"/>
      <c r="C111" s="39"/>
      <c r="D111" s="24" t="s">
        <v>18</v>
      </c>
      <c r="E111" s="25" t="n">
        <v>56723.0</v>
      </c>
      <c r="F111" s="26" t="n">
        <f>4970</f>
        <v>4970.0</v>
      </c>
      <c r="G111" s="25" t="n">
        <v>7.04986454E12</v>
      </c>
      <c r="H111" s="26" t="n">
        <f>617310210000</f>
        <v>6.1731021E11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3030.0</v>
      </c>
      <c r="F113" s="22" t="n">
        <f>0</f>
        <v>0.0</v>
      </c>
      <c r="G113" s="21" t="n">
        <v>3.763674E10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2582.0</v>
      </c>
      <c r="F114" s="22" t="n">
        <f>0</f>
        <v>0.0</v>
      </c>
      <c r="G114" s="21" t="n">
        <v>3.20765E10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5612.0</v>
      </c>
      <c r="F115" s="26" t="n">
        <f>0</f>
        <v>0.0</v>
      </c>
      <c r="G115" s="25" t="n">
        <v>6.971324E10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130.0</v>
      </c>
      <c r="F118" s="22" t="n">
        <f>0</f>
        <v>0.0</v>
      </c>
      <c r="G118" s="21" t="n">
        <v>1.1432E9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130.0</v>
      </c>
      <c r="F119" s="26" t="n">
        <f>0</f>
        <v>0.0</v>
      </c>
      <c r="G119" s="25" t="n">
        <v>1.1432E9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2705.0</v>
      </c>
      <c r="F120" s="18" t="n">
        <f>0</f>
        <v>0.0</v>
      </c>
      <c r="G120" s="17" t="n">
        <v>6.65655675E10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5010.0</v>
      </c>
      <c r="F121" s="22" t="n">
        <f>0</f>
        <v>0.0</v>
      </c>
      <c r="G121" s="21" t="n">
        <v>1.233487175E11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3018.0</v>
      </c>
      <c r="F122" s="22" t="n">
        <f>0</f>
        <v>0.0</v>
      </c>
      <c r="G122" s="21" t="n">
        <v>7.4230983125E10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10733.0</v>
      </c>
      <c r="F123" s="26" t="n">
        <f>0</f>
        <v>0.0</v>
      </c>
      <c r="G123" s="25" t="n">
        <v>2.64145268125E11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5582.0</v>
      </c>
      <c r="F124" s="18" t="n">
        <f>0</f>
        <v>0.0</v>
      </c>
      <c r="G124" s="17" t="n">
        <v>1.24804592E11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1669.0</v>
      </c>
      <c r="F125" s="22" t="n">
        <f>0</f>
        <v>0.0</v>
      </c>
      <c r="G125" s="21" t="n">
        <v>3.7426192E10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3416.0</v>
      </c>
      <c r="F126" s="22" t="n">
        <f>1000</f>
        <v>1000.0</v>
      </c>
      <c r="G126" s="21" t="n">
        <v>7.6210584E10</v>
      </c>
      <c r="H126" s="22" t="n">
        <f>22270000000</f>
        <v>2.227E10</v>
      </c>
    </row>
    <row r="127" spans="1:8" ht="24.9" customHeight="1">
      <c r="A127" s="51"/>
      <c r="B127" s="57"/>
      <c r="C127" s="39"/>
      <c r="D127" s="24" t="s">
        <v>18</v>
      </c>
      <c r="E127" s="25" t="n">
        <v>10667.0</v>
      </c>
      <c r="F127" s="26" t="n">
        <f>1000</f>
        <v>1000.0</v>
      </c>
      <c r="G127" s="25" t="n">
        <v>2.38441368E11</v>
      </c>
      <c r="H127" s="26" t="n">
        <f>22270000000</f>
        <v>2.227E10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60.0</v>
      </c>
      <c r="F128" s="18" t="n">
        <f>0</f>
        <v>0.0</v>
      </c>
      <c r="G128" s="17" t="n">
        <v>1.324033E8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174.0</v>
      </c>
      <c r="F129" s="22" t="n">
        <f>0</f>
        <v>0.0</v>
      </c>
      <c r="G129" s="21" t="n">
        <v>3.865695E8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252.0</v>
      </c>
      <c r="F130" s="22" t="n">
        <f>0</f>
        <v>0.0</v>
      </c>
      <c r="G130" s="21" t="n">
        <v>5.54563E8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486.0</v>
      </c>
      <c r="F131" s="26" t="n">
        <f>0</f>
        <v>0.0</v>
      </c>
      <c r="G131" s="25" t="n">
        <v>1.0735358E9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6449.0</v>
      </c>
      <c r="F132" s="18" t="n">
        <f>0</f>
        <v>0.0</v>
      </c>
      <c r="G132" s="17" t="n">
        <v>1.44501855E10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1056.0</v>
      </c>
      <c r="F133" s="22" t="n">
        <f>0</f>
        <v>0.0</v>
      </c>
      <c r="G133" s="21" t="n">
        <v>2.374164E9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2106.0</v>
      </c>
      <c r="F134" s="22" t="n">
        <f>0</f>
        <v>0.0</v>
      </c>
      <c r="G134" s="21" t="n">
        <v>4.7122877E9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9611.0</v>
      </c>
      <c r="F135" s="26" t="n">
        <f>0</f>
        <v>0.0</v>
      </c>
      <c r="G135" s="25" t="n">
        <v>2.15366372E10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52.0</v>
      </c>
      <c r="F136" s="18" t="n">
        <f>0</f>
        <v>0.0</v>
      </c>
      <c r="G136" s="17" t="n">
        <v>1.136581E8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2.0</v>
      </c>
      <c r="F137" s="22" t="n">
        <f>0</f>
        <v>0.0</v>
      </c>
      <c r="G137" s="21" t="n">
        <v>4380400.0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3.0</v>
      </c>
      <c r="F138" s="22" t="n">
        <f>0</f>
        <v>0.0</v>
      </c>
      <c r="G138" s="21" t="n">
        <v>6543400.0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57.0</v>
      </c>
      <c r="F139" s="26" t="n">
        <f>0</f>
        <v>0.0</v>
      </c>
      <c r="G139" s="25" t="n">
        <v>1.245819E8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1113.0</v>
      </c>
      <c r="F144" s="18" t="n">
        <f>0</f>
        <v>0.0</v>
      </c>
      <c r="G144" s="17" t="n">
        <v>4.8582835E9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468.0</v>
      </c>
      <c r="F145" s="22" t="n">
        <f>0</f>
        <v>0.0</v>
      </c>
      <c r="G145" s="21" t="n">
        <v>2.0525825E9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713.0</v>
      </c>
      <c r="F146" s="22" t="n">
        <f>0</f>
        <v>0.0</v>
      </c>
      <c r="G146" s="21" t="n">
        <v>3.109482E9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2294.0</v>
      </c>
      <c r="F147" s="26" t="n">
        <f>0</f>
        <v>0.0</v>
      </c>
      <c r="G147" s="25" t="n">
        <v>1.0020348E10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37.0</v>
      </c>
      <c r="F148" s="18" t="n">
        <f>0</f>
        <v>0.0</v>
      </c>
      <c r="G148" s="17" t="n">
        <v>3.29716E7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53.0</v>
      </c>
      <c r="F149" s="22" t="n">
        <f>0</f>
        <v>0.0</v>
      </c>
      <c r="G149" s="21" t="n">
        <v>4.76982E7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413.0</v>
      </c>
      <c r="F150" s="22" t="n">
        <f>0</f>
        <v>0.0</v>
      </c>
      <c r="G150" s="21" t="n">
        <v>3.691341E8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503.0</v>
      </c>
      <c r="F151" s="26" t="n">
        <f>0</f>
        <v>0.0</v>
      </c>
      <c r="G151" s="25" t="n">
        <v>4.498039E8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292.0</v>
      </c>
      <c r="F152" s="18" t="n">
        <f>0</f>
        <v>0.0</v>
      </c>
      <c r="G152" s="17" t="n">
        <v>2.5493925E8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54.0</v>
      </c>
      <c r="F153" s="22" t="n">
        <f>0</f>
        <v>0.0</v>
      </c>
      <c r="G153" s="21" t="n">
        <v>4.742895E7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368.0</v>
      </c>
      <c r="F154" s="22" t="n">
        <f>0</f>
        <v>0.0</v>
      </c>
      <c r="G154" s="21" t="n">
        <v>3.219419E8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714.0</v>
      </c>
      <c r="F155" s="26" t="n">
        <f>0</f>
        <v>0.0</v>
      </c>
      <c r="G155" s="25" t="n">
        <v>6.243101E8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94.0</v>
      </c>
      <c r="F156" s="18" t="n">
        <f>0</f>
        <v>0.0</v>
      </c>
      <c r="G156" s="17" t="n">
        <v>8.24923E7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142.0</v>
      </c>
      <c r="F157" s="22" t="n">
        <f>0</f>
        <v>0.0</v>
      </c>
      <c r="G157" s="21" t="n">
        <v>1.254114E8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343.0</v>
      </c>
      <c r="F158" s="22" t="n">
        <f>0</f>
        <v>0.0</v>
      </c>
      <c r="G158" s="21" t="n">
        <v>3.003E8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579.0</v>
      </c>
      <c r="F159" s="26" t="n">
        <f>0</f>
        <v>0.0</v>
      </c>
      <c r="G159" s="25" t="n">
        <v>5.082037E8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185.0</v>
      </c>
      <c r="F168" s="18" t="n">
        <f>0</f>
        <v>0.0</v>
      </c>
      <c r="G168" s="17" t="n">
        <v>4.169525E8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129.0</v>
      </c>
      <c r="F169" s="22" t="n">
        <f>0</f>
        <v>0.0</v>
      </c>
      <c r="G169" s="21" t="n">
        <v>2.906505E8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309.0</v>
      </c>
      <c r="F170" s="22" t="n">
        <f>0</f>
        <v>0.0</v>
      </c>
      <c r="G170" s="21" t="n">
        <v>6.965215E8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623.0</v>
      </c>
      <c r="F171" s="26" t="n">
        <f>0</f>
        <v>0.0</v>
      </c>
      <c r="G171" s="25" t="n">
        <v>1.4041245E9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8.0</v>
      </c>
      <c r="F176" s="18" t="n">
        <f>0</f>
        <v>0.0</v>
      </c>
      <c r="G176" s="17" t="n">
        <v>1.5664E7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21.0</v>
      </c>
      <c r="F178" s="22" t="n">
        <f>0</f>
        <v>0.0</v>
      </c>
      <c r="G178" s="21" t="n">
        <v>4.1207E7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29.0</v>
      </c>
      <c r="F179" s="26" t="n">
        <f>0</f>
        <v>0.0</v>
      </c>
      <c r="G179" s="25" t="n">
        <v>5.6871E7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264.0</v>
      </c>
      <c r="F204" s="18" t="n">
        <f>0</f>
        <v>0.0</v>
      </c>
      <c r="G204" s="17" t="n">
        <v>1.162549E9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177.0</v>
      </c>
      <c r="F205" s="22" t="n">
        <f>0</f>
        <v>0.0</v>
      </c>
      <c r="G205" s="21" t="n">
        <v>7.78155E8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1461.0</v>
      </c>
      <c r="F206" s="22" t="n">
        <f>0</f>
        <v>0.0</v>
      </c>
      <c r="G206" s="21" t="n">
        <v>6.394173E9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1902.0</v>
      </c>
      <c r="F207" s="26" t="n">
        <f>0</f>
        <v>0.0</v>
      </c>
      <c r="G207" s="25" t="n">
        <v>8.334877E9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40.0</v>
      </c>
      <c r="F278" s="22" t="n">
        <f>20</f>
        <v>20.0</v>
      </c>
      <c r="G278" s="21" t="n">
        <v>3.94838E7</v>
      </c>
      <c r="H278" s="22" t="n">
        <f>19742000</f>
        <v>1.9742E7</v>
      </c>
    </row>
    <row r="279" spans="1:8" ht="24.9" customHeight="1">
      <c r="A279" s="57"/>
      <c r="B279" s="59"/>
      <c r="C279" s="39"/>
      <c r="D279" s="24" t="s">
        <v>18</v>
      </c>
      <c r="E279" s="25" t="n">
        <v>40.0</v>
      </c>
      <c r="F279" s="26" t="n">
        <f>20</f>
        <v>20.0</v>
      </c>
      <c r="G279" s="25" t="n">
        <v>3.94838E7</v>
      </c>
      <c r="H279" s="26" t="n">
        <f>19742000</f>
        <v>1.9742E7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46290.0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46290.0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3196</f>
        <v>3196.0</v>
      </c>
      <c r="E12" s="35" t="n">
        <f>1551</f>
        <v>1551.0</v>
      </c>
      <c r="F12" s="17" t="n">
        <f>2261</f>
        <v>2261.0</v>
      </c>
      <c r="G12" s="35" t="n">
        <f>730</f>
        <v>730.0</v>
      </c>
      <c r="H12" s="17" t="n">
        <f>5457</f>
        <v>5457.0</v>
      </c>
      <c r="I12" s="35" t="n">
        <f>2281</f>
        <v>2281.0</v>
      </c>
      <c r="J12" s="17" t="n">
        <f>988914350</f>
        <v>9.8891435E8</v>
      </c>
      <c r="K12" s="35" t="n">
        <f>561913350</f>
        <v>5.6191335E8</v>
      </c>
      <c r="L12" s="17" t="n">
        <f>470077536</f>
        <v>4.70077536E8</v>
      </c>
      <c r="M12" s="35" t="n">
        <f>157017536</f>
        <v>1.57017536E8</v>
      </c>
      <c r="N12" s="17" t="n">
        <f>1458991886</f>
        <v>1.458991886E9</v>
      </c>
      <c r="O12" s="35" t="n">
        <f>718930886</f>
        <v>7.18930886E8</v>
      </c>
    </row>
    <row r="13" spans="1:15" ht="24.9" customHeight="1">
      <c r="A13" s="38"/>
      <c r="B13" s="62"/>
      <c r="C13" s="20" t="s">
        <v>16</v>
      </c>
      <c r="D13" s="21" t="n">
        <f>4649</f>
        <v>4649.0</v>
      </c>
      <c r="E13" s="36" t="n">
        <f>2619</f>
        <v>2619.0</v>
      </c>
      <c r="F13" s="21" t="n">
        <f>2608</f>
        <v>2608.0</v>
      </c>
      <c r="G13" s="36" t="n">
        <f>640</f>
        <v>640.0</v>
      </c>
      <c r="H13" s="21" t="n">
        <f>7257</f>
        <v>7257.0</v>
      </c>
      <c r="I13" s="36" t="n">
        <f>3259</f>
        <v>3259.0</v>
      </c>
      <c r="J13" s="21" t="n">
        <f>1930619772</f>
        <v>1.930619772E9</v>
      </c>
      <c r="K13" s="36" t="n">
        <f>1458577772</f>
        <v>1.458577772E9</v>
      </c>
      <c r="L13" s="21" t="n">
        <f>651499930</f>
        <v>6.5149993E8</v>
      </c>
      <c r="M13" s="36" t="n">
        <f>352972930</f>
        <v>3.5297293E8</v>
      </c>
      <c r="N13" s="21" t="n">
        <f>2582119702</f>
        <v>2.582119702E9</v>
      </c>
      <c r="O13" s="36" t="n">
        <f>1811550702</f>
        <v>1.811550702E9</v>
      </c>
    </row>
    <row r="14" spans="1:15" ht="24.9" customHeight="1">
      <c r="A14" s="38"/>
      <c r="B14" s="62"/>
      <c r="C14" s="20" t="s">
        <v>17</v>
      </c>
      <c r="D14" s="21" t="n">
        <f>12438</f>
        <v>12438.0</v>
      </c>
      <c r="E14" s="36" t="n">
        <f>9755</f>
        <v>9755.0</v>
      </c>
      <c r="F14" s="21" t="n">
        <f>6063</f>
        <v>6063.0</v>
      </c>
      <c r="G14" s="36" t="n">
        <f>3872</f>
        <v>3872.0</v>
      </c>
      <c r="H14" s="21" t="n">
        <f>18501</f>
        <v>18501.0</v>
      </c>
      <c r="I14" s="36" t="n">
        <f>13627</f>
        <v>13627.0</v>
      </c>
      <c r="J14" s="21" t="n">
        <f>7181239652</f>
        <v>7.181239652E9</v>
      </c>
      <c r="K14" s="36" t="n">
        <f>6412972652</f>
        <v>6.412972652E9</v>
      </c>
      <c r="L14" s="21" t="n">
        <f>6446473910</f>
        <v>6.44647391E9</v>
      </c>
      <c r="M14" s="36" t="n">
        <f>5892726910</f>
        <v>5.89272691E9</v>
      </c>
      <c r="N14" s="21" t="n">
        <f>13627713562</f>
        <v>1.3627713562E10</v>
      </c>
      <c r="O14" s="36" t="n">
        <f>12305699562</f>
        <v>1.2305699562E10</v>
      </c>
    </row>
    <row r="15" spans="1:15" ht="24.9" customHeight="1">
      <c r="A15" s="38"/>
      <c r="B15" s="62"/>
      <c r="C15" s="24" t="s">
        <v>18</v>
      </c>
      <c r="D15" s="25" t="n">
        <f>20283</f>
        <v>20283.0</v>
      </c>
      <c r="E15" s="37" t="n">
        <f>13925</f>
        <v>13925.0</v>
      </c>
      <c r="F15" s="25" t="n">
        <f>10932</f>
        <v>10932.0</v>
      </c>
      <c r="G15" s="37" t="n">
        <f>5242</f>
        <v>5242.0</v>
      </c>
      <c r="H15" s="25" t="n">
        <f>31215</f>
        <v>31215.0</v>
      </c>
      <c r="I15" s="37" t="n">
        <f>19167</f>
        <v>19167.0</v>
      </c>
      <c r="J15" s="25" t="n">
        <f>10100773774</f>
        <v>1.0100773774E10</v>
      </c>
      <c r="K15" s="37" t="n">
        <f>8433463774</f>
        <v>8.433463774E9</v>
      </c>
      <c r="L15" s="25" t="n">
        <f>7568051376</f>
        <v>7.568051376E9</v>
      </c>
      <c r="M15" s="37" t="n">
        <f>6402717376</f>
        <v>6.402717376E9</v>
      </c>
      <c r="N15" s="25" t="n">
        <f>17668825150</f>
        <v>1.766882515E10</v>
      </c>
      <c r="O15" s="37" t="n">
        <f>14836181150</f>
        <v>1.483618115E10</v>
      </c>
    </row>
    <row r="16" spans="1:15" ht="24.9" customHeight="1">
      <c r="A16" s="38"/>
      <c r="B16" s="61" t="s">
        <v>105</v>
      </c>
      <c r="C16" s="16" t="s">
        <v>15</v>
      </c>
      <c r="D16" s="17" t="n">
        <f>6078</f>
        <v>6078.0</v>
      </c>
      <c r="E16" s="35" t="n">
        <f>770</f>
        <v>770.0</v>
      </c>
      <c r="F16" s="17" t="n">
        <f>6824</f>
        <v>6824.0</v>
      </c>
      <c r="G16" s="35" t="n">
        <f>190</f>
        <v>190.0</v>
      </c>
      <c r="H16" s="17" t="n">
        <f>12902</f>
        <v>12902.0</v>
      </c>
      <c r="I16" s="35" t="n">
        <f>960</f>
        <v>960.0</v>
      </c>
      <c r="J16" s="17" t="n">
        <f>246547550</f>
        <v>2.4654755E8</v>
      </c>
      <c r="K16" s="35" t="n">
        <f>6211950</f>
        <v>6211950.0</v>
      </c>
      <c r="L16" s="17" t="n">
        <f>285756290</f>
        <v>2.8575629E8</v>
      </c>
      <c r="M16" s="35" t="n">
        <f>4016090</f>
        <v>4016090.0</v>
      </c>
      <c r="N16" s="17" t="n">
        <f>532303840</f>
        <v>5.3230384E8</v>
      </c>
      <c r="O16" s="35" t="n">
        <f>10228040</f>
        <v>1.022804E7</v>
      </c>
    </row>
    <row r="17" spans="1:15" ht="24.9" customHeight="1">
      <c r="A17" s="38"/>
      <c r="B17" s="62"/>
      <c r="C17" s="20" t="s">
        <v>16</v>
      </c>
      <c r="D17" s="21" t="n">
        <f>6090</f>
        <v>6090.0</v>
      </c>
      <c r="E17" s="36" t="n">
        <f>340</f>
        <v>340.0</v>
      </c>
      <c r="F17" s="21" t="n">
        <f>4603</f>
        <v>4603.0</v>
      </c>
      <c r="G17" s="36" t="n">
        <f>130</f>
        <v>130.0</v>
      </c>
      <c r="H17" s="21" t="n">
        <f>10693</f>
        <v>10693.0</v>
      </c>
      <c r="I17" s="36" t="n">
        <f>470</f>
        <v>470.0</v>
      </c>
      <c r="J17" s="21" t="n">
        <f>179929410</f>
        <v>1.7992941E8</v>
      </c>
      <c r="K17" s="36" t="n">
        <f>2773910</f>
        <v>2773910.0</v>
      </c>
      <c r="L17" s="21" t="n">
        <f>123484830</f>
        <v>1.2348483E8</v>
      </c>
      <c r="M17" s="36" t="n">
        <f>1502030</f>
        <v>1502030.0</v>
      </c>
      <c r="N17" s="21" t="n">
        <f>303414240</f>
        <v>3.0341424E8</v>
      </c>
      <c r="O17" s="36" t="n">
        <f>4275940</f>
        <v>4275940.0</v>
      </c>
    </row>
    <row r="18" spans="1:15" ht="24.9" customHeight="1">
      <c r="A18" s="38"/>
      <c r="B18" s="62"/>
      <c r="C18" s="20" t="s">
        <v>17</v>
      </c>
      <c r="D18" s="21" t="n">
        <f>9703</f>
        <v>9703.0</v>
      </c>
      <c r="E18" s="36" t="n">
        <f>3740</f>
        <v>3740.0</v>
      </c>
      <c r="F18" s="21" t="n">
        <f>3469</f>
        <v>3469.0</v>
      </c>
      <c r="G18" s="36" t="n">
        <f>160</f>
        <v>160.0</v>
      </c>
      <c r="H18" s="21" t="n">
        <f>13172</f>
        <v>13172.0</v>
      </c>
      <c r="I18" s="36" t="n">
        <f>3900</f>
        <v>3900.0</v>
      </c>
      <c r="J18" s="21" t="n">
        <f>207660130</f>
        <v>2.0766013E8</v>
      </c>
      <c r="K18" s="36" t="n">
        <f>39242830</f>
        <v>3.924283E7</v>
      </c>
      <c r="L18" s="21" t="n">
        <f>96171440</f>
        <v>9.617144E7</v>
      </c>
      <c r="M18" s="36" t="n">
        <f>4427640</f>
        <v>4427640.0</v>
      </c>
      <c r="N18" s="21" t="n">
        <f>303831570</f>
        <v>3.0383157E8</v>
      </c>
      <c r="O18" s="36" t="n">
        <f>43670470</f>
        <v>4.367047E7</v>
      </c>
    </row>
    <row r="19" spans="1:15" ht="24.9" customHeight="1">
      <c r="A19" s="38"/>
      <c r="B19" s="62"/>
      <c r="C19" s="24" t="s">
        <v>18</v>
      </c>
      <c r="D19" s="25" t="n">
        <f>21871</f>
        <v>21871.0</v>
      </c>
      <c r="E19" s="37" t="n">
        <f>4850</f>
        <v>4850.0</v>
      </c>
      <c r="F19" s="25" t="n">
        <f>14896</f>
        <v>14896.0</v>
      </c>
      <c r="G19" s="37" t="n">
        <f>480</f>
        <v>480.0</v>
      </c>
      <c r="H19" s="25" t="n">
        <f>36767</f>
        <v>36767.0</v>
      </c>
      <c r="I19" s="37" t="n">
        <f>5330</f>
        <v>5330.0</v>
      </c>
      <c r="J19" s="25" t="n">
        <f>634137090</f>
        <v>6.3413709E8</v>
      </c>
      <c r="K19" s="37" t="n">
        <f>48228690</f>
        <v>4.822869E7</v>
      </c>
      <c r="L19" s="25" t="n">
        <f>505412560</f>
        <v>5.0541256E8</v>
      </c>
      <c r="M19" s="37" t="n">
        <f>9945760</f>
        <v>9945760.0</v>
      </c>
      <c r="N19" s="25" t="n">
        <f>1139549650</f>
        <v>1.13954965E9</v>
      </c>
      <c r="O19" s="37" t="n">
        <f>58174450</f>
        <v>5.817445E7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5</f>
        <v>5.0</v>
      </c>
      <c r="E21" s="36" t="n">
        <f>5</f>
        <v>5.0</v>
      </c>
      <c r="F21" s="21" t="n">
        <f>0</f>
        <v>0.0</v>
      </c>
      <c r="G21" s="36" t="n">
        <f>0</f>
        <v>0.0</v>
      </c>
      <c r="H21" s="21" t="n">
        <f>5</f>
        <v>5.0</v>
      </c>
      <c r="I21" s="36" t="n">
        <f>5</f>
        <v>5.0</v>
      </c>
      <c r="J21" s="21" t="n">
        <f>14900000</f>
        <v>1.49E7</v>
      </c>
      <c r="K21" s="36" t="n">
        <f>14900000</f>
        <v>1.49E7</v>
      </c>
      <c r="L21" s="21" t="n">
        <f>0</f>
        <v>0.0</v>
      </c>
      <c r="M21" s="36" t="n">
        <f>0</f>
        <v>0.0</v>
      </c>
      <c r="N21" s="21" t="n">
        <f>14900000</f>
        <v>1.49E7</v>
      </c>
      <c r="O21" s="36" t="n">
        <f>14900000</f>
        <v>1.49E7</v>
      </c>
    </row>
    <row r="22" spans="1:15" ht="24.9" customHeight="1">
      <c r="A22" s="38"/>
      <c r="B22" s="62"/>
      <c r="C22" s="20" t="s">
        <v>17</v>
      </c>
      <c r="D22" s="21" t="n">
        <f>0</f>
        <v>0.0</v>
      </c>
      <c r="E22" s="36" t="n">
        <f>0</f>
        <v>0.0</v>
      </c>
      <c r="F22" s="21" t="n">
        <f>15</f>
        <v>15.0</v>
      </c>
      <c r="G22" s="36" t="n">
        <f>0</f>
        <v>0.0</v>
      </c>
      <c r="H22" s="21" t="n">
        <f>15</f>
        <v>15.0</v>
      </c>
      <c r="I22" s="36" t="n">
        <f>0</f>
        <v>0.0</v>
      </c>
      <c r="J22" s="21" t="n">
        <f>0</f>
        <v>0.0</v>
      </c>
      <c r="K22" s="36" t="n">
        <f>0</f>
        <v>0.0</v>
      </c>
      <c r="L22" s="21" t="n">
        <f>7425000</f>
        <v>7425000.0</v>
      </c>
      <c r="M22" s="36" t="n">
        <f>0</f>
        <v>0.0</v>
      </c>
      <c r="N22" s="21" t="n">
        <f>7425000</f>
        <v>7425000.0</v>
      </c>
      <c r="O22" s="36" t="n">
        <f>0</f>
        <v>0.0</v>
      </c>
    </row>
    <row r="23" spans="1:15" ht="24.9" customHeight="1">
      <c r="A23" s="38"/>
      <c r="B23" s="62"/>
      <c r="C23" s="24" t="s">
        <v>18</v>
      </c>
      <c r="D23" s="25" t="n">
        <f>5</f>
        <v>5.0</v>
      </c>
      <c r="E23" s="37" t="n">
        <f>5</f>
        <v>5.0</v>
      </c>
      <c r="F23" s="25" t="n">
        <f>15</f>
        <v>15.0</v>
      </c>
      <c r="G23" s="37" t="n">
        <f>0</f>
        <v>0.0</v>
      </c>
      <c r="H23" s="25" t="n">
        <f>20</f>
        <v>20.0</v>
      </c>
      <c r="I23" s="37" t="n">
        <f>5</f>
        <v>5.0</v>
      </c>
      <c r="J23" s="25" t="n">
        <f>14900000</f>
        <v>1.49E7</v>
      </c>
      <c r="K23" s="37" t="n">
        <f>14900000</f>
        <v>1.49E7</v>
      </c>
      <c r="L23" s="25" t="n">
        <f>7425000</f>
        <v>7425000.0</v>
      </c>
      <c r="M23" s="37" t="n">
        <f>0</f>
        <v>0.0</v>
      </c>
      <c r="N23" s="25" t="n">
        <f>22325000</f>
        <v>2.2325E7</v>
      </c>
      <c r="O23" s="37" t="n">
        <f>14900000</f>
        <v>1.49E7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5</f>
        <v>5.0</v>
      </c>
      <c r="E36" s="18" t="n">
        <f>0</f>
        <v>0.0</v>
      </c>
      <c r="F36" s="17" t="n">
        <f>25</f>
        <v>25.0</v>
      </c>
      <c r="G36" s="18" t="n">
        <f>0</f>
        <v>0.0</v>
      </c>
      <c r="H36" s="17" t="n">
        <f>30</f>
        <v>30.0</v>
      </c>
      <c r="I36" s="18" t="n">
        <f>0</f>
        <v>0.0</v>
      </c>
      <c r="J36" s="17" t="n">
        <f>1150000</f>
        <v>1150000.0</v>
      </c>
      <c r="K36" s="18" t="n">
        <f>0</f>
        <v>0.0</v>
      </c>
      <c r="L36" s="17" t="n">
        <f>6000000</f>
        <v>6000000.0</v>
      </c>
      <c r="M36" s="18" t="n">
        <f>0</f>
        <v>0.0</v>
      </c>
      <c r="N36" s="17" t="n">
        <f>7150000</f>
        <v>7150000.0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60</f>
        <v>60.0</v>
      </c>
      <c r="E37" s="22" t="n">
        <f>0</f>
        <v>0.0</v>
      </c>
      <c r="F37" s="21" t="n">
        <f>41</f>
        <v>41.0</v>
      </c>
      <c r="G37" s="22" t="n">
        <f>0</f>
        <v>0.0</v>
      </c>
      <c r="H37" s="21" t="n">
        <f>101</f>
        <v>101.0</v>
      </c>
      <c r="I37" s="22" t="n">
        <f>0</f>
        <v>0.0</v>
      </c>
      <c r="J37" s="21" t="n">
        <f>9450000</f>
        <v>9450000.0</v>
      </c>
      <c r="K37" s="22" t="n">
        <f>0</f>
        <v>0.0</v>
      </c>
      <c r="L37" s="21" t="n">
        <f>4840000</f>
        <v>4840000.0</v>
      </c>
      <c r="M37" s="22" t="n">
        <f>0</f>
        <v>0.0</v>
      </c>
      <c r="N37" s="21" t="n">
        <f>14290000</f>
        <v>1.429E7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75</f>
        <v>75.0</v>
      </c>
      <c r="E38" s="36" t="n">
        <f>0</f>
        <v>0.0</v>
      </c>
      <c r="F38" s="21" t="n">
        <f>60</f>
        <v>60.0</v>
      </c>
      <c r="G38" s="36" t="n">
        <f>0</f>
        <v>0.0</v>
      </c>
      <c r="H38" s="21" t="n">
        <f>135</f>
        <v>135.0</v>
      </c>
      <c r="I38" s="36" t="n">
        <f>0</f>
        <v>0.0</v>
      </c>
      <c r="J38" s="21" t="n">
        <f>5350000</f>
        <v>5350000.0</v>
      </c>
      <c r="K38" s="36" t="n">
        <f>0</f>
        <v>0.0</v>
      </c>
      <c r="L38" s="21" t="n">
        <f>6650000</f>
        <v>6650000.0</v>
      </c>
      <c r="M38" s="36" t="n">
        <f>0</f>
        <v>0.0</v>
      </c>
      <c r="N38" s="21" t="n">
        <f>12000000</f>
        <v>1.2E7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140</f>
        <v>140.0</v>
      </c>
      <c r="E39" s="37" t="n">
        <f>0</f>
        <v>0.0</v>
      </c>
      <c r="F39" s="25" t="n">
        <f>126</f>
        <v>126.0</v>
      </c>
      <c r="G39" s="37" t="n">
        <f>0</f>
        <v>0.0</v>
      </c>
      <c r="H39" s="25" t="n">
        <f>266</f>
        <v>266.0</v>
      </c>
      <c r="I39" s="37" t="n">
        <f>0</f>
        <v>0.0</v>
      </c>
      <c r="J39" s="25" t="n">
        <f>15950000</f>
        <v>1.595E7</v>
      </c>
      <c r="K39" s="37" t="n">
        <f>0</f>
        <v>0.0</v>
      </c>
      <c r="L39" s="25" t="n">
        <f>17490000</f>
        <v>1.749E7</v>
      </c>
      <c r="M39" s="37" t="n">
        <f>0</f>
        <v>0.0</v>
      </c>
      <c r="N39" s="25" t="n">
        <f>33440000</f>
        <v>3.344E7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5153</f>
        <v>5153.0</v>
      </c>
      <c r="E41" s="36" t="n">
        <f>0</f>
        <v>0.0</v>
      </c>
      <c r="F41" s="21" t="n">
        <f>9235</f>
        <v>9235.0</v>
      </c>
      <c r="G41" s="36" t="n">
        <f>0</f>
        <v>0.0</v>
      </c>
      <c r="H41" s="21" t="n">
        <f>14388</f>
        <v>14388.0</v>
      </c>
      <c r="I41" s="36" t="n">
        <f>0</f>
        <v>0.0</v>
      </c>
      <c r="J41" s="21" t="n">
        <f>4416399</f>
        <v>4416399.0</v>
      </c>
      <c r="K41" s="36" t="n">
        <f>0</f>
        <v>0.0</v>
      </c>
      <c r="L41" s="21" t="n">
        <f>10936581</f>
        <v>1.0936581E7</v>
      </c>
      <c r="M41" s="36" t="n">
        <f>0</f>
        <v>0.0</v>
      </c>
      <c r="N41" s="21" t="n">
        <f>15352980</f>
        <v>1.535298E7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437</f>
        <v>437.0</v>
      </c>
      <c r="E42" s="36" t="n">
        <f>0</f>
        <v>0.0</v>
      </c>
      <c r="F42" s="21" t="n">
        <f>5626</f>
        <v>5626.0</v>
      </c>
      <c r="G42" s="36" t="n">
        <f>0</f>
        <v>0.0</v>
      </c>
      <c r="H42" s="21" t="n">
        <f>6063</f>
        <v>6063.0</v>
      </c>
      <c r="I42" s="36" t="n">
        <f>0</f>
        <v>0.0</v>
      </c>
      <c r="J42" s="21" t="n">
        <f>9822430</f>
        <v>9822430.0</v>
      </c>
      <c r="K42" s="36" t="n">
        <f>0</f>
        <v>0.0</v>
      </c>
      <c r="L42" s="21" t="n">
        <f>9892280</f>
        <v>9892280.0</v>
      </c>
      <c r="M42" s="36" t="n">
        <f>0</f>
        <v>0.0</v>
      </c>
      <c r="N42" s="21" t="n">
        <f>19714710</f>
        <v>1.971471E7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5590</f>
        <v>5590.0</v>
      </c>
      <c r="E43" s="37" t="n">
        <f>0</f>
        <v>0.0</v>
      </c>
      <c r="F43" s="25" t="n">
        <f>14861</f>
        <v>14861.0</v>
      </c>
      <c r="G43" s="37" t="n">
        <f>0</f>
        <v>0.0</v>
      </c>
      <c r="H43" s="25" t="n">
        <f>20451</f>
        <v>20451.0</v>
      </c>
      <c r="I43" s="37" t="n">
        <f>0</f>
        <v>0.0</v>
      </c>
      <c r="J43" s="25" t="n">
        <f>14238829</f>
        <v>1.4238829E7</v>
      </c>
      <c r="K43" s="37" t="n">
        <f>0</f>
        <v>0.0</v>
      </c>
      <c r="L43" s="25" t="n">
        <f>20828861</f>
        <v>2.0828861E7</v>
      </c>
      <c r="M43" s="37" t="n">
        <f>0</f>
        <v>0.0</v>
      </c>
      <c r="N43" s="25" t="n">
        <f>35067690</f>
        <v>3.506769E7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