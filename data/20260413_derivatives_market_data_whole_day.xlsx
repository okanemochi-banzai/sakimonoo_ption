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<sst xmlns="http://schemas.openxmlformats.org/spreadsheetml/2006/main" count="528" uniqueCount="129">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</sst>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DATE(2026,04,13)</f>
        <v>46125.0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DATE(2026,04,13)</f>
        <v>46125.0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575221.0</f>
        <v>575221.0</v>
      </c>
      <c r="E12" s="18" t="n">
        <f>36451.0</f>
        <v>36451.0</v>
      </c>
      <c r="F12" s="19" t="n">
        <f>1.0</f>
        <v>1.0</v>
      </c>
      <c r="G12" s="17" t="n">
        <f>3860122796295.0</f>
        <v>3.860122796295E12</v>
      </c>
      <c r="H12" s="18" t="n">
        <f>251645303420.0</f>
        <v>2.5164530342E11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378504.0</f>
        <v>378504.0</v>
      </c>
      <c r="E13" s="22" t="n">
        <f>17846.0</f>
        <v>17846.0</v>
      </c>
      <c r="F13" s="23" t="n">
        <f>1.0</f>
        <v>1.0</v>
      </c>
      <c r="G13" s="21" t="n">
        <f>3954590378321.0</f>
        <v>3.954590378321E12</v>
      </c>
      <c r="H13" s="22" t="n">
        <f>209461736696.0</f>
        <v>2.09461736696E11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324457.0</f>
        <v>324457.0</v>
      </c>
      <c r="E14" s="22" t="n">
        <f>35901.0</f>
        <v>35901.0</v>
      </c>
      <c r="F14" s="23" t="n">
        <f>1.0</f>
        <v>1.0</v>
      </c>
      <c r="G14" s="21" t="n">
        <f>4425956682626.0</f>
        <v>4.425956682626E12</v>
      </c>
      <c r="H14" s="22" t="n">
        <f>1032463712501.0</f>
        <v>1.032463712501E12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1278182.0</f>
        <v>1278182.0</v>
      </c>
      <c r="E15" s="26" t="n">
        <f>90198.0</f>
        <v>90198.0</v>
      </c>
      <c r="F15" s="27" t="n">
        <f>1.0</f>
        <v>1.0</v>
      </c>
      <c r="G15" s="25" t="n">
        <f>12240669857242.0</f>
        <v>1.2240669857242E13</v>
      </c>
      <c r="H15" s="26" t="n">
        <f>1493570752617.0</f>
        <v>1.493570752617E12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10524.0</f>
        <v>10524.0</v>
      </c>
      <c r="E16" s="18" t="n">
        <f>2.0</f>
        <v>2.0</v>
      </c>
      <c r="F16" s="19" t="n">
        <f>0.018</f>
        <v>0.018</v>
      </c>
      <c r="G16" s="17" t="n">
        <f>1247267994375.0</f>
        <v>1.247267994375E12</v>
      </c>
      <c r="H16" s="18" t="n">
        <f>259710000.0</f>
        <v>2.5971E8</v>
      </c>
      <c r="I16" s="19" t="n">
        <f>0.323</f>
        <v>0.323</v>
      </c>
    </row>
    <row r="17" spans="1:9" ht="24.9" customHeight="1">
      <c r="A17" s="41"/>
      <c r="B17" s="39"/>
      <c r="C17" s="20" t="s">
        <v>16</v>
      </c>
      <c r="D17" s="21" t="n">
        <f>13693.0</f>
        <v>13693.0</v>
      </c>
      <c r="E17" s="22" t="n">
        <f>584.0</f>
        <v>584.0</v>
      </c>
      <c r="F17" s="23" t="n">
        <f>0.036</f>
        <v>0.036</v>
      </c>
      <c r="G17" s="21" t="n">
        <f>1731658098125.0</f>
        <v>1.731658098125E12</v>
      </c>
      <c r="H17" s="22" t="n">
        <f>75563350000.0</f>
        <v>7.556335E10</v>
      </c>
      <c r="I17" s="23" t="n">
        <f>0.438</f>
        <v>0.438</v>
      </c>
    </row>
    <row r="18" spans="1:9" ht="24.9" customHeight="1">
      <c r="A18" s="41"/>
      <c r="B18" s="39"/>
      <c r="C18" s="20" t="s">
        <v>17</v>
      </c>
      <c r="D18" s="21" t="n">
        <f>13386.0</f>
        <v>13386.0</v>
      </c>
      <c r="E18" s="22" t="n">
        <f>2289.0</f>
        <v>2289.0</v>
      </c>
      <c r="F18" s="23" t="n">
        <f>0.041</f>
        <v>0.041</v>
      </c>
      <c r="G18" s="21" t="n">
        <f>1688759325375.0</f>
        <v>1.688759325375E12</v>
      </c>
      <c r="H18" s="22" t="n">
        <f>296719370000.0</f>
        <v>2.9671937E11</v>
      </c>
      <c r="I18" s="23" t="n">
        <f>0.382</f>
        <v>0.382</v>
      </c>
    </row>
    <row r="19" spans="1:9" ht="24.9" customHeight="1">
      <c r="A19" s="41"/>
      <c r="B19" s="39"/>
      <c r="C19" s="24" t="s">
        <v>18</v>
      </c>
      <c r="D19" s="25" t="n">
        <f>37603.0</f>
        <v>37603.0</v>
      </c>
      <c r="E19" s="26" t="n">
        <f>2875.0</f>
        <v>2875.0</v>
      </c>
      <c r="F19" s="27" t="n">
        <f>0.029</f>
        <v>0.029</v>
      </c>
      <c r="G19" s="25" t="n">
        <f>4667685417875.0</f>
        <v>4.667685417875E12</v>
      </c>
      <c r="H19" s="26" t="n">
        <f>372542430000.0</f>
        <v>3.7254243E11</v>
      </c>
      <c r="I19" s="27" t="n">
        <f>0.381</f>
        <v>0.381</v>
      </c>
    </row>
    <row r="20" spans="1:9" ht="24.9" customHeight="1">
      <c r="A20" s="41"/>
      <c r="B20" s="39" t="s">
        <v>21</v>
      </c>
      <c r="C20" s="16" t="s">
        <v>15</v>
      </c>
      <c r="D20" s="17" t="n">
        <f>551539.0</f>
        <v>551539.0</v>
      </c>
      <c r="E20" s="18" t="n">
        <f>36440.0</f>
        <v>36440.0</v>
      </c>
      <c r="F20" s="19" t="n">
        <f>0.959</f>
        <v>0.959</v>
      </c>
      <c r="G20" s="17" t="n">
        <f>2462463310870.0</f>
        <v>2.46246331087E12</v>
      </c>
      <c r="H20" s="18" t="n">
        <f>251379883820.0</f>
        <v>2.5137988382E11</v>
      </c>
      <c r="I20" s="19" t="n">
        <f>0.638</f>
        <v>0.638</v>
      </c>
    </row>
    <row r="21" spans="1:9" ht="24.9" customHeight="1">
      <c r="A21" s="41"/>
      <c r="B21" s="39"/>
      <c r="C21" s="20" t="s">
        <v>16</v>
      </c>
      <c r="D21" s="21" t="n">
        <f>352662.0</f>
        <v>352662.0</v>
      </c>
      <c r="E21" s="22" t="n">
        <f>17262.0</f>
        <v>17262.0</v>
      </c>
      <c r="F21" s="23" t="n">
        <f>0.932</f>
        <v>0.932</v>
      </c>
      <c r="G21" s="21" t="n">
        <f>2100494998896.0</f>
        <v>2.100494998896E12</v>
      </c>
      <c r="H21" s="22" t="n">
        <f>133898386696.0</f>
        <v>1.33898386696E11</v>
      </c>
      <c r="I21" s="23" t="n">
        <f>0.531</f>
        <v>0.531</v>
      </c>
    </row>
    <row r="22" spans="1:9" ht="24.9" customHeight="1">
      <c r="A22" s="41"/>
      <c r="B22" s="39"/>
      <c r="C22" s="20" t="s">
        <v>17</v>
      </c>
      <c r="D22" s="21" t="n">
        <f>297613.0</f>
        <v>297613.0</v>
      </c>
      <c r="E22" s="22" t="n">
        <f>33538.0</f>
        <v>33538.0</v>
      </c>
      <c r="F22" s="23" t="n">
        <f>0.917</f>
        <v>0.917</v>
      </c>
      <c r="G22" s="21" t="n">
        <f>2655729762101.0</f>
        <v>2.655729762101E12</v>
      </c>
      <c r="H22" s="22" t="n">
        <f>735625490801.0</f>
        <v>7.35625490801E11</v>
      </c>
      <c r="I22" s="23" t="n">
        <f>0.6</f>
        <v>0.6</v>
      </c>
    </row>
    <row r="23" spans="1:9" ht="24.9" customHeight="1">
      <c r="A23" s="41"/>
      <c r="B23" s="39"/>
      <c r="C23" s="24" t="s">
        <v>18</v>
      </c>
      <c r="D23" s="25" t="n">
        <f>1201814.0</f>
        <v>1201814.0</v>
      </c>
      <c r="E23" s="26" t="n">
        <f>87240.0</f>
        <v>87240.0</v>
      </c>
      <c r="F23" s="27" t="n">
        <f>0.94</f>
        <v>0.94</v>
      </c>
      <c r="G23" s="25" t="n">
        <f>7218688071867.0</f>
        <v>7.218688071867E12</v>
      </c>
      <c r="H23" s="26" t="n">
        <f>1120903761317.0</f>
        <v>1.120903761317E12</v>
      </c>
      <c r="I23" s="27" t="n">
        <f>0.59</f>
        <v>0.59</v>
      </c>
    </row>
    <row r="24" spans="1:9" ht="24.9" customHeight="1">
      <c r="A24" s="41"/>
      <c r="B24" s="39" t="s">
        <v>22</v>
      </c>
      <c r="C24" s="16" t="s">
        <v>15</v>
      </c>
      <c r="D24" s="17" t="n">
        <f>12570.0</f>
        <v>12570.0</v>
      </c>
      <c r="E24" s="18" t="n">
        <f>0.0</f>
        <v>0.0</v>
      </c>
      <c r="F24" s="19" t="n">
        <f>0.022</f>
        <v>0.022</v>
      </c>
      <c r="G24" s="17" t="n">
        <f>148000511950.0</f>
        <v>1.4800051195E11</v>
      </c>
      <c r="H24" s="18" t="n">
        <f>0.0</f>
        <v>0.0</v>
      </c>
      <c r="I24" s="19" t="n">
        <f>0.038</f>
        <v>0.038</v>
      </c>
    </row>
    <row r="25" spans="1:9" ht="24.9" customHeight="1">
      <c r="A25" s="41"/>
      <c r="B25" s="39"/>
      <c r="C25" s="20" t="s">
        <v>16</v>
      </c>
      <c r="D25" s="21" t="n">
        <f>11515.0</f>
        <v>11515.0</v>
      </c>
      <c r="E25" s="22" t="n">
        <f>0.0</f>
        <v>0.0</v>
      </c>
      <c r="F25" s="23" t="n">
        <f>0.03</f>
        <v>0.03</v>
      </c>
      <c r="G25" s="21" t="n">
        <f>119741266300.0</f>
        <v>1.197412663E11</v>
      </c>
      <c r="H25" s="22" t="n">
        <f>0.0</f>
        <v>0.0</v>
      </c>
      <c r="I25" s="23" t="n">
        <f>0.03</f>
        <v>0.03</v>
      </c>
    </row>
    <row r="26" spans="1:9" ht="24.9" customHeight="1">
      <c r="A26" s="41"/>
      <c r="B26" s="39"/>
      <c r="C26" s="20" t="s">
        <v>17</v>
      </c>
      <c r="D26" s="21" t="n">
        <f>8369.0</f>
        <v>8369.0</v>
      </c>
      <c r="E26" s="22" t="n">
        <f>44.0</f>
        <v>44.0</v>
      </c>
      <c r="F26" s="23" t="n">
        <f>0.026</f>
        <v>0.026</v>
      </c>
      <c r="G26" s="21" t="n">
        <f>59989173950.0</f>
        <v>5.998917395E10</v>
      </c>
      <c r="H26" s="22" t="n">
        <f>84040000.0</f>
        <v>8.404E7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32454.0</f>
        <v>32454.0</v>
      </c>
      <c r="E27" s="26" t="n">
        <f>44.0</f>
        <v>44.0</v>
      </c>
      <c r="F27" s="27" t="n">
        <f>0.025</f>
        <v>0.025</v>
      </c>
      <c r="G27" s="25" t="n">
        <f>327730952200.0</f>
        <v>3.277309522E11</v>
      </c>
      <c r="H27" s="26" t="n">
        <f>84040000.0</f>
        <v>8.404E7</v>
      </c>
      <c r="I27" s="27" t="n">
        <f>0.027</f>
        <v>0.027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588.0</f>
        <v>588.0</v>
      </c>
      <c r="E28" s="18" t="n">
        <f>9.0</f>
        <v>9.0</v>
      </c>
      <c r="F28" s="19" t="n">
        <f>0.001</f>
        <v>0.001</v>
      </c>
      <c r="G28" s="17" t="n">
        <f>2390979100.0</f>
        <v>2.3909791E9</v>
      </c>
      <c r="H28" s="18" t="n">
        <f>5709600.0</f>
        <v>5709600.0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634.0</f>
        <v>634.0</v>
      </c>
      <c r="E29" s="22" t="n">
        <f>0.0</f>
        <v>0.0</v>
      </c>
      <c r="F29" s="23" t="n">
        <f>0.002</f>
        <v>0.002</v>
      </c>
      <c r="G29" s="21" t="n">
        <f>2696015000.0</f>
        <v>2.696015E9</v>
      </c>
      <c r="H29" s="22" t="n">
        <f>0.0</f>
        <v>0.0</v>
      </c>
      <c r="I29" s="23" t="n">
        <f>0.001</f>
        <v>0.001</v>
      </c>
    </row>
    <row r="30" spans="1:9" ht="24.9" customHeight="1">
      <c r="A30" s="38"/>
      <c r="B30" s="39"/>
      <c r="C30" s="20" t="s">
        <v>17</v>
      </c>
      <c r="D30" s="21" t="n">
        <f>5089.0</f>
        <v>5089.0</v>
      </c>
      <c r="E30" s="22" t="n">
        <f>30.0</f>
        <v>30.0</v>
      </c>
      <c r="F30" s="23" t="n">
        <f>0.016</f>
        <v>0.016</v>
      </c>
      <c r="G30" s="21" t="n">
        <f>21478421200.0</f>
        <v>2.14784212E10</v>
      </c>
      <c r="H30" s="22" t="n">
        <f>34811700.0</f>
        <v>3.48117E7</v>
      </c>
      <c r="I30" s="23" t="n">
        <f>0.005</f>
        <v>0.005</v>
      </c>
    </row>
    <row r="31" spans="1:9" ht="24.9" customHeight="1">
      <c r="A31" s="38"/>
      <c r="B31" s="39"/>
      <c r="C31" s="24" t="s">
        <v>18</v>
      </c>
      <c r="D31" s="25" t="n">
        <f>6311.0</f>
        <v>6311.0</v>
      </c>
      <c r="E31" s="26" t="n">
        <f>39.0</f>
        <v>39.0</v>
      </c>
      <c r="F31" s="27" t="n">
        <f>0.005</f>
        <v>0.005</v>
      </c>
      <c r="G31" s="25" t="n">
        <f>26565415300.0</f>
        <v>2.65654153E10</v>
      </c>
      <c r="H31" s="26" t="n">
        <f>40521300.0</f>
        <v>4.05213E7</v>
      </c>
      <c r="I31" s="27" t="n">
        <f>0.002</f>
        <v>0.002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50078</f>
        <v>50078.0</v>
      </c>
      <c r="E11" s="18" t="n">
        <f>5253</f>
        <v>5253.0</v>
      </c>
      <c r="F11" s="19" t="n">
        <f>1</f>
        <v>1.0</v>
      </c>
      <c r="G11" s="17" t="n">
        <f>7727946490</f>
        <v>7.72794649E9</v>
      </c>
      <c r="H11" s="18" t="n">
        <f>524413690</f>
        <v>5.2441369E8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41575</f>
        <v>41575.0</v>
      </c>
      <c r="E12" s="22" t="n">
        <f>7323</f>
        <v>7323.0</v>
      </c>
      <c r="F12" s="23" t="n">
        <f>1</f>
        <v>1.0</v>
      </c>
      <c r="G12" s="21" t="n">
        <f>5344235961</f>
        <v>5.344235961E9</v>
      </c>
      <c r="H12" s="22" t="n">
        <f>3283375693</f>
        <v>3.283375693E9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48711</f>
        <v>48711.0</v>
      </c>
      <c r="E13" s="22" t="n">
        <f>26670</f>
        <v>26670.0</v>
      </c>
      <c r="F13" s="23" t="n">
        <f>1</f>
        <v>1.0</v>
      </c>
      <c r="G13" s="21" t="n">
        <f>23333579810</f>
        <v>2.333357981E10</v>
      </c>
      <c r="H13" s="22" t="n">
        <f>21005966128</f>
        <v>2.1005966128E10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140364</f>
        <v>140364.0</v>
      </c>
      <c r="E14" s="26" t="n">
        <f>39246</f>
        <v>39246.0</v>
      </c>
      <c r="F14" s="27" t="n">
        <f>1</f>
        <v>1.0</v>
      </c>
      <c r="G14" s="25" t="n">
        <f>36405762261</f>
        <v>3.6405762261E10</v>
      </c>
      <c r="H14" s="26" t="n">
        <f>24813755511</f>
        <v>2.4813755511E10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60</f>
        <v>60.0</v>
      </c>
      <c r="E15" s="18" t="n">
        <f>0</f>
        <v>0.0</v>
      </c>
      <c r="F15" s="19" t="n">
        <f>0.001</f>
        <v>0.001</v>
      </c>
      <c r="G15" s="17" t="n">
        <f>8400000</f>
        <v>8400000.0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170</f>
        <v>170.0</v>
      </c>
      <c r="E17" s="22" t="n">
        <f>140</f>
        <v>140.0</v>
      </c>
      <c r="F17" s="23" t="n">
        <f>0.003</f>
        <v>0.003</v>
      </c>
      <c r="G17" s="21" t="n">
        <f>22300000</f>
        <v>2.23E7</v>
      </c>
      <c r="H17" s="22" t="n">
        <f>19250000</f>
        <v>1.925E7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230</f>
        <v>230.0</v>
      </c>
      <c r="E18" s="26" t="n">
        <f>140</f>
        <v>140.0</v>
      </c>
      <c r="F18" s="27" t="n">
        <f>0.002</f>
        <v>0.002</v>
      </c>
      <c r="G18" s="25" t="n">
        <f>30700000</f>
        <v>3.07E7</v>
      </c>
      <c r="H18" s="26" t="n">
        <f>19250000</f>
        <v>1.925E7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50018</f>
        <v>50018.0</v>
      </c>
      <c r="E19" s="18" t="n">
        <f>5253</f>
        <v>5253.0</v>
      </c>
      <c r="F19" s="19" t="n">
        <f>0.999</f>
        <v>0.999</v>
      </c>
      <c r="G19" s="17" t="n">
        <f>7719546490</f>
        <v>7.71954649E9</v>
      </c>
      <c r="H19" s="18" t="n">
        <f>524413690</f>
        <v>5.2441369E8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24031</f>
        <v>24031.0</v>
      </c>
      <c r="E20" s="22" t="n">
        <f>7103</f>
        <v>7103.0</v>
      </c>
      <c r="F20" s="23" t="n">
        <f>0.578</f>
        <v>0.578</v>
      </c>
      <c r="G20" s="21" t="n">
        <f>5262012793</f>
        <v>5.262012793E9</v>
      </c>
      <c r="H20" s="22" t="n">
        <f>3248351693</f>
        <v>3.248351693E9</v>
      </c>
      <c r="I20" s="23" t="n">
        <f>0.985</f>
        <v>0.985</v>
      </c>
    </row>
    <row r="21" spans="1:9" ht="24.9" customHeight="1">
      <c r="A21" s="41"/>
      <c r="B21" s="39"/>
      <c r="C21" s="20" t="s">
        <v>17</v>
      </c>
      <c r="D21" s="21" t="n">
        <f>37778</f>
        <v>37778.0</v>
      </c>
      <c r="E21" s="22" t="n">
        <f>24040</f>
        <v>24040.0</v>
      </c>
      <c r="F21" s="23" t="n">
        <f>0.776</f>
        <v>0.776</v>
      </c>
      <c r="G21" s="21" t="n">
        <f>23191842128</f>
        <v>2.3191842128E10</v>
      </c>
      <c r="H21" s="22" t="n">
        <f>20895669128</f>
        <v>2.0895669128E10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111827</f>
        <v>111827.0</v>
      </c>
      <c r="E22" s="26" t="n">
        <f>36396</f>
        <v>36396.0</v>
      </c>
      <c r="F22" s="27" t="n">
        <f>0.797</f>
        <v>0.797</v>
      </c>
      <c r="G22" s="25" t="n">
        <f>36173401411</f>
        <v>3.6173401411E10</v>
      </c>
      <c r="H22" s="26" t="n">
        <f>24668434511</f>
        <v>2.4668434511E10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17544</f>
        <v>17544.0</v>
      </c>
      <c r="E24" s="22" t="n">
        <f>220</f>
        <v>220.0</v>
      </c>
      <c r="F24" s="23" t="n">
        <f>0.422</f>
        <v>0.422</v>
      </c>
      <c r="G24" s="21" t="n">
        <f>82223168</f>
        <v>8.2223168E7</v>
      </c>
      <c r="H24" s="22" t="n">
        <f>35024000</f>
        <v>3.5024E7</v>
      </c>
      <c r="I24" s="23" t="n">
        <f>0.015</f>
        <v>0.015</v>
      </c>
    </row>
    <row r="25" spans="1:9" ht="24.9" customHeight="1">
      <c r="A25" s="41"/>
      <c r="B25" s="39"/>
      <c r="C25" s="20" t="s">
        <v>17</v>
      </c>
      <c r="D25" s="21" t="n">
        <f>10763</f>
        <v>10763.0</v>
      </c>
      <c r="E25" s="22" t="n">
        <f>2490</f>
        <v>2490.0</v>
      </c>
      <c r="F25" s="23" t="n">
        <f>0.221</f>
        <v>0.221</v>
      </c>
      <c r="G25" s="21" t="n">
        <f>119437682</f>
        <v>1.19437682E8</v>
      </c>
      <c r="H25" s="22" t="n">
        <f>91047000</f>
        <v>9.1047E7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28307</f>
        <v>28307.0</v>
      </c>
      <c r="E26" s="26" t="n">
        <f>2710</f>
        <v>2710.0</v>
      </c>
      <c r="F26" s="27" t="n">
        <f>0.202</f>
        <v>0.202</v>
      </c>
      <c r="G26" s="25" t="n">
        <f>201660850</f>
        <v>2.0166085E8</v>
      </c>
      <c r="H26" s="26" t="n">
        <f>126071000</f>
        <v>1.26071E8</v>
      </c>
      <c r="I26" s="27" t="n">
        <f>0.006</f>
        <v>0.006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46125.0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46125.0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9986.0</v>
      </c>
      <c r="F12" s="18" t="n">
        <f>845</f>
        <v>845.0</v>
      </c>
      <c r="G12" s="17" t="n">
        <v>5.7102093077E11</v>
      </c>
      <c r="H12" s="18" t="n">
        <f>48259902770</f>
        <v>4.825990277E10</v>
      </c>
    </row>
    <row r="13" spans="1:8" ht="24.9" customHeight="1">
      <c r="A13" s="51"/>
      <c r="B13" s="57"/>
      <c r="C13" s="39"/>
      <c r="D13" s="20" t="s">
        <v>16</v>
      </c>
      <c r="E13" s="21" t="n">
        <v>10501.0</v>
      </c>
      <c r="F13" s="22" t="n">
        <f>602</f>
        <v>602.0</v>
      </c>
      <c r="G13" s="21" t="n">
        <v>5.939596034E11</v>
      </c>
      <c r="H13" s="22" t="n">
        <f>34066532400</f>
        <v>3.40665324E10</v>
      </c>
    </row>
    <row r="14" spans="1:8" ht="24.9" customHeight="1">
      <c r="A14" s="51"/>
      <c r="B14" s="57"/>
      <c r="C14" s="39"/>
      <c r="D14" s="20" t="s">
        <v>17</v>
      </c>
      <c r="E14" s="21" t="n">
        <v>15908.0</v>
      </c>
      <c r="F14" s="22" t="n">
        <f>5816</f>
        <v>5816.0</v>
      </c>
      <c r="G14" s="21" t="n">
        <v>8.9933599764E11</v>
      </c>
      <c r="H14" s="22" t="n">
        <f>328853179640</f>
        <v>3.2885317964E11</v>
      </c>
    </row>
    <row r="15" spans="1:8" ht="24.9" customHeight="1">
      <c r="A15" s="51"/>
      <c r="B15" s="57"/>
      <c r="C15" s="39"/>
      <c r="D15" s="24" t="s">
        <v>18</v>
      </c>
      <c r="E15" s="25" t="n">
        <v>36395.0</v>
      </c>
      <c r="F15" s="26" t="n">
        <f>7263</f>
        <v>7263.0</v>
      </c>
      <c r="G15" s="25" t="n">
        <v>2.06431653181E12</v>
      </c>
      <c r="H15" s="26" t="n">
        <f>411179614810</f>
        <v>4.1117961481E11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211098.0</v>
      </c>
      <c r="F16" s="18" t="n">
        <f>35230</f>
        <v>35230.0</v>
      </c>
      <c r="G16" s="17" t="n">
        <v>1.20717102689E12</v>
      </c>
      <c r="H16" s="18" t="n">
        <f>201474192390</f>
        <v>2.0147419239E11</v>
      </c>
    </row>
    <row r="17" spans="1:8" ht="24.9" customHeight="1">
      <c r="A17" s="51"/>
      <c r="B17" s="57"/>
      <c r="C17" s="39"/>
      <c r="D17" s="20" t="s">
        <v>16</v>
      </c>
      <c r="E17" s="21" t="n">
        <v>144391.0</v>
      </c>
      <c r="F17" s="22" t="n">
        <f>16087</f>
        <v>16087.0</v>
      </c>
      <c r="G17" s="21" t="n">
        <v>8.1680410468E11</v>
      </c>
      <c r="H17" s="22" t="n">
        <f>91007700680</f>
        <v>9.100770068E10</v>
      </c>
    </row>
    <row r="18" spans="1:8" ht="24.9" customHeight="1">
      <c r="A18" s="51"/>
      <c r="B18" s="57"/>
      <c r="C18" s="39"/>
      <c r="D18" s="20" t="s">
        <v>17</v>
      </c>
      <c r="E18" s="21" t="n">
        <v>119027.0</v>
      </c>
      <c r="F18" s="22" t="n">
        <f>19061</f>
        <v>19061.0</v>
      </c>
      <c r="G18" s="21" t="n">
        <v>6.72695103635E11</v>
      </c>
      <c r="H18" s="22" t="n">
        <f>107698555135</f>
        <v>1.07698555135E11</v>
      </c>
    </row>
    <row r="19" spans="1:8" ht="24.9" customHeight="1">
      <c r="A19" s="51"/>
      <c r="B19" s="57"/>
      <c r="C19" s="39"/>
      <c r="D19" s="24" t="s">
        <v>18</v>
      </c>
      <c r="E19" s="25" t="n">
        <v>474516.0</v>
      </c>
      <c r="F19" s="26" t="n">
        <f>70378</f>
        <v>70378.0</v>
      </c>
      <c r="G19" s="25" t="n">
        <v>2.696670235205E12</v>
      </c>
      <c r="H19" s="26" t="n">
        <f>400180448205</f>
        <v>4.00180448205E11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310305.0</v>
      </c>
      <c r="F20" s="18" t="str">
        <f>"－"</f>
        <v>－</v>
      </c>
      <c r="G20" s="17" t="n">
        <v>1.774806084E11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174520.0</v>
      </c>
      <c r="F21" s="22" t="str">
        <f>"－"</f>
        <v>－</v>
      </c>
      <c r="G21" s="21" t="n">
        <v>9.87396179E10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129116.0</v>
      </c>
      <c r="F22" s="22" t="str">
        <f>"－"</f>
        <v>－</v>
      </c>
      <c r="G22" s="21" t="n">
        <v>7.295983245E10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613941.0</v>
      </c>
      <c r="F23" s="26" t="str">
        <f>"－"</f>
        <v>－</v>
      </c>
      <c r="G23" s="25" t="n">
        <v>3.4918005875E11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12783.0</v>
      </c>
      <c r="F24" s="18" t="n">
        <f>10</f>
        <v>10.0</v>
      </c>
      <c r="G24" s="17" t="n">
        <v>4.8140363E11</v>
      </c>
      <c r="H24" s="18" t="n">
        <f>377560000</f>
        <v>3.7756E8</v>
      </c>
    </row>
    <row r="25" spans="1:8" ht="24.9" customHeight="1">
      <c r="A25" s="51"/>
      <c r="B25" s="57"/>
      <c r="C25" s="39"/>
      <c r="D25" s="20" t="s">
        <v>16</v>
      </c>
      <c r="E25" s="21" t="n">
        <v>15078.0</v>
      </c>
      <c r="F25" s="22" t="n">
        <f>188</f>
        <v>188.0</v>
      </c>
      <c r="G25" s="21" t="n">
        <v>5.637746195E11</v>
      </c>
      <c r="H25" s="22" t="n">
        <f>7019054500</f>
        <v>7.0190545E9</v>
      </c>
    </row>
    <row r="26" spans="1:8" ht="24.9" customHeight="1">
      <c r="A26" s="51"/>
      <c r="B26" s="57"/>
      <c r="C26" s="39"/>
      <c r="D26" s="20" t="s">
        <v>17</v>
      </c>
      <c r="E26" s="21" t="n">
        <v>26514.0</v>
      </c>
      <c r="F26" s="22" t="n">
        <f>7970</f>
        <v>7970.0</v>
      </c>
      <c r="G26" s="21" t="n">
        <v>9.884938149E11</v>
      </c>
      <c r="H26" s="22" t="n">
        <f>297251974900</f>
        <v>2.972519749E11</v>
      </c>
    </row>
    <row r="27" spans="1:8" ht="24.9" customHeight="1">
      <c r="A27" s="51"/>
      <c r="B27" s="57"/>
      <c r="C27" s="39"/>
      <c r="D27" s="24" t="s">
        <v>18</v>
      </c>
      <c r="E27" s="25" t="n">
        <v>54375.0</v>
      </c>
      <c r="F27" s="26" t="n">
        <f>8168</f>
        <v>8168.0</v>
      </c>
      <c r="G27" s="25" t="n">
        <v>2.0336720644E12</v>
      </c>
      <c r="H27" s="26" t="n">
        <f>304648589400</f>
        <v>3.046485894E11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5973.0</v>
      </c>
      <c r="F28" s="18" t="n">
        <f>329</f>
        <v>329.0</v>
      </c>
      <c r="G28" s="17" t="n">
        <v>2.24794269E10</v>
      </c>
      <c r="H28" s="18" t="n">
        <f>1236942650</f>
        <v>1.23694265E9</v>
      </c>
    </row>
    <row r="29" spans="1:8" ht="24.9" customHeight="1">
      <c r="A29" s="51"/>
      <c r="B29" s="57"/>
      <c r="C29" s="39"/>
      <c r="D29" s="20" t="s">
        <v>16</v>
      </c>
      <c r="E29" s="21" t="n">
        <v>5789.0</v>
      </c>
      <c r="F29" s="22" t="n">
        <f>184</f>
        <v>184.0</v>
      </c>
      <c r="G29" s="21" t="n">
        <v>2.16407135E10</v>
      </c>
      <c r="H29" s="22" t="n">
        <f>688294500</f>
        <v>6.882945E8</v>
      </c>
    </row>
    <row r="30" spans="1:8" ht="24.9" customHeight="1">
      <c r="A30" s="51"/>
      <c r="B30" s="57"/>
      <c r="C30" s="39"/>
      <c r="D30" s="20" t="s">
        <v>17</v>
      </c>
      <c r="E30" s="21" t="n">
        <v>4721.0</v>
      </c>
      <c r="F30" s="22" t="n">
        <f>94</f>
        <v>94.0</v>
      </c>
      <c r="G30" s="21" t="n">
        <v>1.7597487E10</v>
      </c>
      <c r="H30" s="22" t="n">
        <f>350294250</f>
        <v>3.5029425E8</v>
      </c>
    </row>
    <row r="31" spans="1:8" ht="24.9" customHeight="1">
      <c r="A31" s="51"/>
      <c r="B31" s="57"/>
      <c r="C31" s="39"/>
      <c r="D31" s="24" t="s">
        <v>18</v>
      </c>
      <c r="E31" s="25" t="n">
        <v>16483.0</v>
      </c>
      <c r="F31" s="26" t="n">
        <f>607</f>
        <v>607.0</v>
      </c>
      <c r="G31" s="25" t="n">
        <v>6.17176274E10</v>
      </c>
      <c r="H31" s="26" t="n">
        <f>2275531400</f>
        <v>2.2755314E9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650.0</v>
      </c>
      <c r="F36" s="18" t="n">
        <f>1</f>
        <v>1.0</v>
      </c>
      <c r="G36" s="17" t="n">
        <v>2.21625951E9</v>
      </c>
      <c r="H36" s="18" t="n">
        <f>3396010</f>
        <v>3396010.0</v>
      </c>
    </row>
    <row r="37" spans="1:8" ht="24.9" customHeight="1">
      <c r="A37" s="51"/>
      <c r="B37" s="57"/>
      <c r="C37" s="39"/>
      <c r="D37" s="20" t="s">
        <v>16</v>
      </c>
      <c r="E37" s="21" t="n">
        <v>1020.0</v>
      </c>
      <c r="F37" s="22" t="n">
        <f>2</f>
        <v>2.0</v>
      </c>
      <c r="G37" s="21" t="n">
        <v>3.45307099E9</v>
      </c>
      <c r="H37" s="22" t="n">
        <f>6769490</f>
        <v>6769490.0</v>
      </c>
    </row>
    <row r="38" spans="1:8" ht="24.9" customHeight="1">
      <c r="A38" s="51"/>
      <c r="B38" s="57"/>
      <c r="C38" s="39"/>
      <c r="D38" s="20" t="s">
        <v>17</v>
      </c>
      <c r="E38" s="21" t="n">
        <v>682.0</v>
      </c>
      <c r="F38" s="22" t="n">
        <f>1</f>
        <v>1.0</v>
      </c>
      <c r="G38" s="21" t="n">
        <v>2.299969E9</v>
      </c>
      <c r="H38" s="22" t="n">
        <f>3366000</f>
        <v>3366000.0</v>
      </c>
    </row>
    <row r="39" spans="1:8" ht="24.9" customHeight="1">
      <c r="A39" s="51"/>
      <c r="B39" s="57"/>
      <c r="C39" s="39"/>
      <c r="D39" s="24" t="s">
        <v>18</v>
      </c>
      <c r="E39" s="25" t="n">
        <v>2352.0</v>
      </c>
      <c r="F39" s="26" t="n">
        <f>4</f>
        <v>4.0</v>
      </c>
      <c r="G39" s="25" t="n">
        <v>7.9692995E9</v>
      </c>
      <c r="H39" s="26" t="n">
        <f>13531500</f>
        <v>1.35315E7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181.0</v>
      </c>
      <c r="F45" s="22" t="n">
        <f>181</f>
        <v>181.0</v>
      </c>
      <c r="G45" s="21" t="n">
        <v>1.096886426E9</v>
      </c>
      <c r="H45" s="22" t="n">
        <f>1096886426</f>
        <v>1.096886426E9</v>
      </c>
    </row>
    <row r="46" spans="1:8" ht="24.9" customHeight="1">
      <c r="A46" s="51"/>
      <c r="B46" s="57"/>
      <c r="C46" s="39"/>
      <c r="D46" s="20" t="s">
        <v>17</v>
      </c>
      <c r="E46" s="21" t="n">
        <v>89.0</v>
      </c>
      <c r="F46" s="22" t="n">
        <f>89</f>
        <v>89.0</v>
      </c>
      <c r="G46" s="21" t="n">
        <v>5.3845E8</v>
      </c>
      <c r="H46" s="22" t="n">
        <f>538450000</f>
        <v>5.3845E8</v>
      </c>
    </row>
    <row r="47" spans="1:8" ht="24.9" customHeight="1">
      <c r="A47" s="51"/>
      <c r="B47" s="57"/>
      <c r="C47" s="39"/>
      <c r="D47" s="24" t="s">
        <v>18</v>
      </c>
      <c r="E47" s="25" t="n">
        <v>270.0</v>
      </c>
      <c r="F47" s="26" t="n">
        <f>270</f>
        <v>270.0</v>
      </c>
      <c r="G47" s="25" t="n">
        <v>1.635336426E9</v>
      </c>
      <c r="H47" s="26" t="n">
        <f>1635336426</f>
        <v>1.635336426E9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8.0</v>
      </c>
      <c r="F48" s="18" t="n">
        <f>8</f>
        <v>8.0</v>
      </c>
      <c r="G48" s="17" t="n">
        <v>1.5296E7</v>
      </c>
      <c r="H48" s="18" t="n">
        <f>15296000</f>
        <v>1.5296E7</v>
      </c>
    </row>
    <row r="49" spans="1:8" ht="24.9" customHeight="1">
      <c r="A49" s="51"/>
      <c r="B49" s="57"/>
      <c r="C49" s="39"/>
      <c r="D49" s="20" t="s">
        <v>16</v>
      </c>
      <c r="E49" s="21" t="n">
        <v>76.0</v>
      </c>
      <c r="F49" s="22" t="n">
        <f>0</f>
        <v>0.0</v>
      </c>
      <c r="G49" s="21" t="n">
        <v>1.44713E8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515.0</v>
      </c>
      <c r="F50" s="22" t="n">
        <f>476</f>
        <v>476.0</v>
      </c>
      <c r="G50" s="21" t="n">
        <v>9.81119896E8</v>
      </c>
      <c r="H50" s="22" t="n">
        <f>906712896</f>
        <v>9.06712896E8</v>
      </c>
    </row>
    <row r="51" spans="1:8" ht="24.9" customHeight="1">
      <c r="A51" s="51"/>
      <c r="B51" s="57"/>
      <c r="C51" s="39"/>
      <c r="D51" s="24" t="s">
        <v>18</v>
      </c>
      <c r="E51" s="25" t="n">
        <v>599.0</v>
      </c>
      <c r="F51" s="26" t="n">
        <f>484</f>
        <v>484.0</v>
      </c>
      <c r="G51" s="25" t="n">
        <v>1.141128896E9</v>
      </c>
      <c r="H51" s="26" t="n">
        <f>922008896</f>
        <v>9.22008896E8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704.0</v>
      </c>
      <c r="F56" s="18" t="n">
        <f>17</f>
        <v>17.0</v>
      </c>
      <c r="G56" s="17" t="n">
        <v>5.21654E8</v>
      </c>
      <c r="H56" s="18" t="n">
        <f>12594000</f>
        <v>1.2594E7</v>
      </c>
    </row>
    <row r="57" spans="1:8" ht="24.9" customHeight="1">
      <c r="A57" s="51"/>
      <c r="B57" s="57"/>
      <c r="C57" s="39"/>
      <c r="D57" s="20" t="s">
        <v>16</v>
      </c>
      <c r="E57" s="21" t="n">
        <v>1087.0</v>
      </c>
      <c r="F57" s="22" t="n">
        <f>18</f>
        <v>18.0</v>
      </c>
      <c r="G57" s="21" t="n">
        <v>7.955027E8</v>
      </c>
      <c r="H57" s="22" t="n">
        <f>13148700</f>
        <v>1.31487E7</v>
      </c>
    </row>
    <row r="58" spans="1:8" ht="24.9" customHeight="1">
      <c r="A58" s="51"/>
      <c r="B58" s="57"/>
      <c r="C58" s="39"/>
      <c r="D58" s="20" t="s">
        <v>17</v>
      </c>
      <c r="E58" s="21" t="n">
        <v>1020.0</v>
      </c>
      <c r="F58" s="22" t="n">
        <f>31</f>
        <v>31.0</v>
      </c>
      <c r="G58" s="21" t="n">
        <v>7.4884698E8</v>
      </c>
      <c r="H58" s="22" t="n">
        <f>22957980</f>
        <v>2.295798E7</v>
      </c>
    </row>
    <row r="59" spans="1:8" ht="24.9" customHeight="1">
      <c r="A59" s="51"/>
      <c r="B59" s="57"/>
      <c r="C59" s="39"/>
      <c r="D59" s="24" t="s">
        <v>18</v>
      </c>
      <c r="E59" s="25" t="n">
        <v>2811.0</v>
      </c>
      <c r="F59" s="26" t="n">
        <f>66</f>
        <v>66.0</v>
      </c>
      <c r="G59" s="25" t="n">
        <v>2.06600368E9</v>
      </c>
      <c r="H59" s="26" t="n">
        <f>48700680</f>
        <v>4.870068E7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32.0</v>
      </c>
      <c r="F60" s="18" t="n">
        <f>0</f>
        <v>0.0</v>
      </c>
      <c r="G60" s="17" t="n">
        <v>1.544784E8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18.0</v>
      </c>
      <c r="F61" s="22" t="n">
        <f>0</f>
        <v>0.0</v>
      </c>
      <c r="G61" s="21" t="n">
        <v>8.58258E7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14.0</v>
      </c>
      <c r="F62" s="22" t="n">
        <f>0</f>
        <v>0.0</v>
      </c>
      <c r="G62" s="21" t="n">
        <v>6.7214E7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64.0</v>
      </c>
      <c r="F63" s="26" t="n">
        <f>0</f>
        <v>0.0</v>
      </c>
      <c r="G63" s="25" t="n">
        <v>3.075182E8</v>
      </c>
      <c r="H63" s="26" t="n">
        <f>0</f>
        <v>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341000.0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348500.0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689500.0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0.0</v>
      </c>
      <c r="F92" s="18" t="n">
        <f>0</f>
        <v>0.0</v>
      </c>
      <c r="G92" s="17" t="n">
        <v>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2.0</v>
      </c>
      <c r="F94" s="22" t="n">
        <f>0</f>
        <v>0.0</v>
      </c>
      <c r="G94" s="21" t="n">
        <v>3177400.0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2.0</v>
      </c>
      <c r="F95" s="26" t="n">
        <f>0</f>
        <v>0.0</v>
      </c>
      <c r="G95" s="25" t="n">
        <v>3177400.0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4676700.0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2.0</v>
      </c>
      <c r="F99" s="26" t="n">
        <f>0</f>
        <v>0.0</v>
      </c>
      <c r="G99" s="25" t="n">
        <v>4676700.0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2.0</v>
      </c>
      <c r="F102" s="22" t="n">
        <f>0</f>
        <v>0.0</v>
      </c>
      <c r="G102" s="21" t="n">
        <v>3724000.0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2.0</v>
      </c>
      <c r="F103" s="26" t="n">
        <f>0</f>
        <v>0.0</v>
      </c>
      <c r="G103" s="25" t="n">
        <v>3724000.0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9394.0</v>
      </c>
      <c r="F108" s="18" t="n">
        <f>2</f>
        <v>2.0</v>
      </c>
      <c r="G108" s="17" t="n">
        <v>1.21924666E12</v>
      </c>
      <c r="H108" s="18" t="n">
        <f>259710000</f>
        <v>2.5971E8</v>
      </c>
    </row>
    <row r="109" spans="1:8" ht="24.9" customHeight="1">
      <c r="A109" s="51"/>
      <c r="B109" s="57"/>
      <c r="C109" s="39"/>
      <c r="D109" s="20" t="s">
        <v>16</v>
      </c>
      <c r="E109" s="21" t="n">
        <v>13305.0</v>
      </c>
      <c r="F109" s="22" t="n">
        <f>584</f>
        <v>584.0</v>
      </c>
      <c r="G109" s="21" t="n">
        <v>1.72211847E12</v>
      </c>
      <c r="H109" s="22" t="n">
        <f>75563350000</f>
        <v>7.556335E10</v>
      </c>
    </row>
    <row r="110" spans="1:8" ht="24.9" customHeight="1">
      <c r="A110" s="51"/>
      <c r="B110" s="57"/>
      <c r="C110" s="39"/>
      <c r="D110" s="20" t="s">
        <v>17</v>
      </c>
      <c r="E110" s="21" t="n">
        <v>12974.0</v>
      </c>
      <c r="F110" s="22" t="n">
        <f>2289</f>
        <v>2289.0</v>
      </c>
      <c r="G110" s="21" t="n">
        <v>1.68163856E12</v>
      </c>
      <c r="H110" s="22" t="n">
        <f>296719370000</f>
        <v>2.9671937E11</v>
      </c>
    </row>
    <row r="111" spans="1:8" ht="24.9" customHeight="1">
      <c r="A111" s="51"/>
      <c r="B111" s="57"/>
      <c r="C111" s="39"/>
      <c r="D111" s="24" t="s">
        <v>18</v>
      </c>
      <c r="E111" s="25" t="n">
        <v>35673.0</v>
      </c>
      <c r="F111" s="26" t="n">
        <f>2875</f>
        <v>2875.0</v>
      </c>
      <c r="G111" s="25" t="n">
        <v>4.62300369E12</v>
      </c>
      <c r="H111" s="26" t="n">
        <f>372542430000</f>
        <v>3.7254243E11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6.0</v>
      </c>
      <c r="F113" s="22" t="n">
        <f>0</f>
        <v>0.0</v>
      </c>
      <c r="G113" s="21" t="n">
        <v>7.761E7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6.0</v>
      </c>
      <c r="F115" s="26" t="n">
        <f>0</f>
        <v>0.0</v>
      </c>
      <c r="G115" s="25" t="n">
        <v>7.761E7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201.0</v>
      </c>
      <c r="F118" s="22" t="n">
        <f>0</f>
        <v>0.0</v>
      </c>
      <c r="G118" s="21" t="n">
        <v>1.900251E9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201.0</v>
      </c>
      <c r="F119" s="26" t="n">
        <f>0</f>
        <v>0.0</v>
      </c>
      <c r="G119" s="25" t="n">
        <v>1.900251E9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1130.0</v>
      </c>
      <c r="F120" s="18" t="n">
        <f>0</f>
        <v>0.0</v>
      </c>
      <c r="G120" s="17" t="n">
        <v>2.8021334375E10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382.0</v>
      </c>
      <c r="F121" s="22" t="n">
        <f>0</f>
        <v>0.0</v>
      </c>
      <c r="G121" s="21" t="n">
        <v>9.462018125E9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211.0</v>
      </c>
      <c r="F122" s="22" t="n">
        <f>0</f>
        <v>0.0</v>
      </c>
      <c r="G122" s="21" t="n">
        <v>5.220514375E9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1723.0</v>
      </c>
      <c r="F123" s="26" t="n">
        <f>0</f>
        <v>0.0</v>
      </c>
      <c r="G123" s="25" t="n">
        <v>4.2703866875E10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5044.0</v>
      </c>
      <c r="F124" s="18" t="n">
        <f>0</f>
        <v>0.0</v>
      </c>
      <c r="G124" s="17" t="n">
        <v>1.26466679E11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4069.0</v>
      </c>
      <c r="F125" s="22" t="n">
        <f>0</f>
        <v>0.0</v>
      </c>
      <c r="G125" s="21" t="n">
        <v>1.00820625E11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1801.0</v>
      </c>
      <c r="F126" s="22" t="n">
        <f>0</f>
        <v>0.0</v>
      </c>
      <c r="G126" s="21" t="n">
        <v>4.4893933E10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10914.0</v>
      </c>
      <c r="F127" s="26" t="n">
        <f>0</f>
        <v>0.0</v>
      </c>
      <c r="G127" s="25" t="n">
        <v>2.72181237E11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0.0</v>
      </c>
      <c r="F128" s="18" t="n">
        <f>0</f>
        <v>0.0</v>
      </c>
      <c r="G128" s="17" t="n">
        <v>0.0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185.0</v>
      </c>
      <c r="F129" s="22" t="n">
        <f>0</f>
        <v>0.0</v>
      </c>
      <c r="G129" s="21" t="n">
        <v>4.593656E8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643.0</v>
      </c>
      <c r="F130" s="22" t="n">
        <f>0</f>
        <v>0.0</v>
      </c>
      <c r="G130" s="21" t="n">
        <v>1.6032803E9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828.0</v>
      </c>
      <c r="F131" s="26" t="n">
        <f>0</f>
        <v>0.0</v>
      </c>
      <c r="G131" s="25" t="n">
        <v>2.0626459E9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5573.0</v>
      </c>
      <c r="F132" s="18" t="n">
        <f>0</f>
        <v>0.0</v>
      </c>
      <c r="G132" s="17" t="n">
        <v>1.400531875E10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3930.0</v>
      </c>
      <c r="F133" s="22" t="n">
        <f>0</f>
        <v>0.0</v>
      </c>
      <c r="G133" s="21" t="n">
        <v>9.7747654E9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2122.0</v>
      </c>
      <c r="F134" s="22" t="n">
        <f>0</f>
        <v>0.0</v>
      </c>
      <c r="G134" s="21" t="n">
        <v>5.30160925E9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11625.0</v>
      </c>
      <c r="F135" s="26" t="n">
        <f>0</f>
        <v>0.0</v>
      </c>
      <c r="G135" s="25" t="n">
        <v>2.90816934E10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108.0</v>
      </c>
      <c r="F136" s="18" t="n">
        <f>0</f>
        <v>0.0</v>
      </c>
      <c r="G136" s="17" t="n">
        <v>2.679057E8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207.0</v>
      </c>
      <c r="F137" s="22" t="n">
        <f>0</f>
        <v>0.0</v>
      </c>
      <c r="G137" s="21" t="n">
        <v>5.074396E8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191.0</v>
      </c>
      <c r="F138" s="22" t="n">
        <f>0</f>
        <v>0.0</v>
      </c>
      <c r="G138" s="21" t="n">
        <v>4.717517E8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506.0</v>
      </c>
      <c r="F139" s="26" t="n">
        <f>0</f>
        <v>0.0</v>
      </c>
      <c r="G139" s="25" t="n">
        <v>1.247097E9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1233.0</v>
      </c>
      <c r="F144" s="18" t="n">
        <f>0</f>
        <v>0.0</v>
      </c>
      <c r="G144" s="17" t="n">
        <v>6.399738E9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1189.0</v>
      </c>
      <c r="F145" s="22" t="n">
        <f>0</f>
        <v>0.0</v>
      </c>
      <c r="G145" s="21" t="n">
        <v>6.047011E9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883.0</v>
      </c>
      <c r="F146" s="22" t="n">
        <f>0</f>
        <v>0.0</v>
      </c>
      <c r="G146" s="21" t="n">
        <v>4.5398115E9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3305.0</v>
      </c>
      <c r="F147" s="26" t="n">
        <f>0</f>
        <v>0.0</v>
      </c>
      <c r="G147" s="25" t="n">
        <v>1.69865605E10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0.0</v>
      </c>
      <c r="F148" s="18" t="n">
        <f>0</f>
        <v>0.0</v>
      </c>
      <c r="G148" s="17" t="n">
        <v>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1130.0</v>
      </c>
      <c r="F149" s="22" t="n">
        <f>0</f>
        <v>0.0</v>
      </c>
      <c r="G149" s="21" t="n">
        <v>1.1588397E9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1279.0</v>
      </c>
      <c r="F150" s="22" t="n">
        <f>0</f>
        <v>0.0</v>
      </c>
      <c r="G150" s="21" t="n">
        <v>1.331089E9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2409.0</v>
      </c>
      <c r="F151" s="26" t="n">
        <f>0</f>
        <v>0.0</v>
      </c>
      <c r="G151" s="25" t="n">
        <v>2.4899287E9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197.0</v>
      </c>
      <c r="F152" s="18" t="n">
        <f>0</f>
        <v>0.0</v>
      </c>
      <c r="G152" s="17" t="n">
        <v>2.04129E8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123.0</v>
      </c>
      <c r="F153" s="22" t="n">
        <f>0</f>
        <v>0.0</v>
      </c>
      <c r="G153" s="21" t="n">
        <v>1.25028E8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130.0</v>
      </c>
      <c r="F154" s="22" t="n">
        <f>0</f>
        <v>0.0</v>
      </c>
      <c r="G154" s="21" t="n">
        <v>1.340026E8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450.0</v>
      </c>
      <c r="F155" s="26" t="n">
        <f>0</f>
        <v>0.0</v>
      </c>
      <c r="G155" s="25" t="n">
        <v>4.631596E8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162.0</v>
      </c>
      <c r="F156" s="18" t="n">
        <f>0</f>
        <v>0.0</v>
      </c>
      <c r="G156" s="17" t="n">
        <v>1.711455E8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527.0</v>
      </c>
      <c r="F157" s="22" t="n">
        <f>0</f>
        <v>0.0</v>
      </c>
      <c r="G157" s="21" t="n">
        <v>5.51114E8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932.0</v>
      </c>
      <c r="F158" s="22" t="n">
        <f>0</f>
        <v>0.0</v>
      </c>
      <c r="G158" s="21" t="n">
        <v>9.746331E8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1621.0</v>
      </c>
      <c r="F159" s="26" t="n">
        <f>0</f>
        <v>0.0</v>
      </c>
      <c r="G159" s="25" t="n">
        <v>1.6968926E9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240.0</v>
      </c>
      <c r="F168" s="18" t="n">
        <f>0</f>
        <v>0.0</v>
      </c>
      <c r="G168" s="17" t="n">
        <v>4.63609E8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131.0</v>
      </c>
      <c r="F169" s="22" t="n">
        <f>0</f>
        <v>0.0</v>
      </c>
      <c r="G169" s="21" t="n">
        <v>2.569E8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348.0</v>
      </c>
      <c r="F170" s="22" t="n">
        <f>44</f>
        <v>44.0</v>
      </c>
      <c r="G170" s="21" t="n">
        <v>6.722585E8</v>
      </c>
      <c r="H170" s="22" t="n">
        <f>84040000</f>
        <v>8.404E7</v>
      </c>
    </row>
    <row r="171" spans="1:8" ht="24.9" customHeight="1">
      <c r="A171" s="51"/>
      <c r="B171" s="57"/>
      <c r="C171" s="39"/>
      <c r="D171" s="24" t="s">
        <v>18</v>
      </c>
      <c r="E171" s="25" t="n">
        <v>719.0</v>
      </c>
      <c r="F171" s="26" t="n">
        <f>44</f>
        <v>44.0</v>
      </c>
      <c r="G171" s="25" t="n">
        <v>1.3927675E9</v>
      </c>
      <c r="H171" s="26" t="n">
        <f>84040000</f>
        <v>8.404E7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13.0</v>
      </c>
      <c r="F176" s="18" t="n">
        <f>0</f>
        <v>0.0</v>
      </c>
      <c r="G176" s="17" t="n">
        <v>2.1987E7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24.0</v>
      </c>
      <c r="F177" s="22" t="n">
        <f>0</f>
        <v>0.0</v>
      </c>
      <c r="G177" s="21" t="n">
        <v>4.0178E7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40.0</v>
      </c>
      <c r="F178" s="22" t="n">
        <f>0</f>
        <v>0.0</v>
      </c>
      <c r="G178" s="21" t="n">
        <v>6.6805E7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77.0</v>
      </c>
      <c r="F179" s="26" t="n">
        <f>0</f>
        <v>0.0</v>
      </c>
      <c r="G179" s="25" t="n">
        <v>1.2897E8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579.0</v>
      </c>
      <c r="F204" s="18" t="n">
        <f>0</f>
        <v>0.0</v>
      </c>
      <c r="G204" s="17" t="n">
        <v>2.3852695E9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634.0</v>
      </c>
      <c r="F205" s="22" t="n">
        <f>0</f>
        <v>0.0</v>
      </c>
      <c r="G205" s="21" t="n">
        <v>2.696015E9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5059.0</v>
      </c>
      <c r="F206" s="22" t="n">
        <f>0</f>
        <v>0.0</v>
      </c>
      <c r="G206" s="21" t="n">
        <v>2.14436095E10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6272.0</v>
      </c>
      <c r="F207" s="26" t="n">
        <f>0</f>
        <v>0.0</v>
      </c>
      <c r="G207" s="25" t="n">
        <v>2.6524894E10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15.0</v>
      </c>
      <c r="F218" s="22" t="n">
        <f>15</f>
        <v>15.0</v>
      </c>
      <c r="G218" s="21" t="n">
        <v>2.45088E7</v>
      </c>
      <c r="H218" s="22" t="n">
        <f>24508800</f>
        <v>2.45088E7</v>
      </c>
    </row>
    <row r="219" spans="1:8" ht="24.9" customHeight="1">
      <c r="A219" s="57"/>
      <c r="B219" s="59"/>
      <c r="C219" s="39"/>
      <c r="D219" s="24" t="s">
        <v>18</v>
      </c>
      <c r="E219" s="25" t="n">
        <v>15.0</v>
      </c>
      <c r="F219" s="26" t="n">
        <f>15</f>
        <v>15.0</v>
      </c>
      <c r="G219" s="25" t="n">
        <v>2.45088E7</v>
      </c>
      <c r="H219" s="26" t="n">
        <f>24508800</f>
        <v>2.45088E7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9.0</v>
      </c>
      <c r="F224" s="18" t="n">
        <f>9</f>
        <v>9.0</v>
      </c>
      <c r="G224" s="17" t="n">
        <v>5709600.0</v>
      </c>
      <c r="H224" s="18" t="n">
        <f>5709600</f>
        <v>5709600.0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9.0</v>
      </c>
      <c r="F227" s="26" t="n">
        <f>9</f>
        <v>9.0</v>
      </c>
      <c r="G227" s="25" t="n">
        <v>5709600.0</v>
      </c>
      <c r="H227" s="26" t="n">
        <f>5709600</f>
        <v>5709600.0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15.0</v>
      </c>
      <c r="F230" s="22" t="n">
        <f>15</f>
        <v>15.0</v>
      </c>
      <c r="G230" s="21" t="n">
        <v>1.03029E7</v>
      </c>
      <c r="H230" s="22" t="n">
        <f>10302900</f>
        <v>1.03029E7</v>
      </c>
    </row>
    <row r="231" spans="1:8" ht="24.9" customHeight="1">
      <c r="A231" s="57"/>
      <c r="B231" s="59"/>
      <c r="C231" s="39"/>
      <c r="D231" s="24" t="s">
        <v>18</v>
      </c>
      <c r="E231" s="25" t="n">
        <v>15.0</v>
      </c>
      <c r="F231" s="26" t="n">
        <f>15</f>
        <v>15.0</v>
      </c>
      <c r="G231" s="25" t="n">
        <v>1.03029E7</v>
      </c>
      <c r="H231" s="26" t="n">
        <f>10302900</f>
        <v>1.03029E7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46125.0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46125.0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3915</f>
        <v>3915.0</v>
      </c>
      <c r="E12" s="35" t="n">
        <f>1162</f>
        <v>1162.0</v>
      </c>
      <c r="F12" s="17" t="n">
        <f>2974</f>
        <v>2974.0</v>
      </c>
      <c r="G12" s="35" t="n">
        <f>701</f>
        <v>701.0</v>
      </c>
      <c r="H12" s="17" t="n">
        <f>6889</f>
        <v>6889.0</v>
      </c>
      <c r="I12" s="35" t="n">
        <f>1863</f>
        <v>1863.0</v>
      </c>
      <c r="J12" s="17" t="n">
        <f>1089637190</f>
        <v>1.08963719E9</v>
      </c>
      <c r="K12" s="35" t="n">
        <f>228031190</f>
        <v>2.2803119E8</v>
      </c>
      <c r="L12" s="17" t="n">
        <f>730805060</f>
        <v>7.3080506E8</v>
      </c>
      <c r="M12" s="35" t="n">
        <f>99883060</f>
        <v>9.988306E7</v>
      </c>
      <c r="N12" s="17" t="n">
        <f>1820442250</f>
        <v>1.82044225E9</v>
      </c>
      <c r="O12" s="35" t="n">
        <f>327914250</f>
        <v>3.2791425E8</v>
      </c>
    </row>
    <row r="13" spans="1:15" ht="24.9" customHeight="1">
      <c r="A13" s="38"/>
      <c r="B13" s="62"/>
      <c r="C13" s="20" t="s">
        <v>16</v>
      </c>
      <c r="D13" s="21" t="n">
        <f>8193</f>
        <v>8193.0</v>
      </c>
      <c r="E13" s="36" t="n">
        <f>4444</f>
        <v>4444.0</v>
      </c>
      <c r="F13" s="21" t="n">
        <f>2463</f>
        <v>2463.0</v>
      </c>
      <c r="G13" s="36" t="n">
        <f>1139</f>
        <v>1139.0</v>
      </c>
      <c r="H13" s="21" t="n">
        <f>10656</f>
        <v>10656.0</v>
      </c>
      <c r="I13" s="36" t="n">
        <f>5583</f>
        <v>5583.0</v>
      </c>
      <c r="J13" s="21" t="n">
        <f>3755169173</f>
        <v>3.755169173E9</v>
      </c>
      <c r="K13" s="36" t="n">
        <f>2667678173</f>
        <v>2.667678173E9</v>
      </c>
      <c r="L13" s="21" t="n">
        <f>839682830</f>
        <v>8.3968283E8</v>
      </c>
      <c r="M13" s="36" t="n">
        <f>339760830</f>
        <v>3.3976083E8</v>
      </c>
      <c r="N13" s="21" t="n">
        <f>4594852003</f>
        <v>4.594852003E9</v>
      </c>
      <c r="O13" s="36" t="n">
        <f>3007439003</f>
        <v>3.007439003E9</v>
      </c>
    </row>
    <row r="14" spans="1:15" ht="24.9" customHeight="1">
      <c r="A14" s="38"/>
      <c r="B14" s="62"/>
      <c r="C14" s="20" t="s">
        <v>17</v>
      </c>
      <c r="D14" s="21" t="n">
        <f>21122</f>
        <v>21122.0</v>
      </c>
      <c r="E14" s="36" t="n">
        <f>18230</f>
        <v>18230.0</v>
      </c>
      <c r="F14" s="21" t="n">
        <f>5527</f>
        <v>5527.0</v>
      </c>
      <c r="G14" s="36" t="n">
        <f>3880</f>
        <v>3880.0</v>
      </c>
      <c r="H14" s="21" t="n">
        <f>26649</f>
        <v>26649.0</v>
      </c>
      <c r="I14" s="36" t="n">
        <f>22110</f>
        <v>22110.0</v>
      </c>
      <c r="J14" s="21" t="n">
        <f>11775933470</f>
        <v>1.177593347E10</v>
      </c>
      <c r="K14" s="36" t="n">
        <f>10656436470</f>
        <v>1.065643647E10</v>
      </c>
      <c r="L14" s="21" t="n">
        <f>10590705188</f>
        <v>1.0590705188E10</v>
      </c>
      <c r="M14" s="36" t="n">
        <f>9842932188</f>
        <v>9.842932188E9</v>
      </c>
      <c r="N14" s="21" t="n">
        <f>22366638658</f>
        <v>2.2366638658E10</v>
      </c>
      <c r="O14" s="36" t="n">
        <f>20499368658</f>
        <v>2.0499368658E10</v>
      </c>
    </row>
    <row r="15" spans="1:15" ht="24.9" customHeight="1">
      <c r="A15" s="38"/>
      <c r="B15" s="62"/>
      <c r="C15" s="24" t="s">
        <v>18</v>
      </c>
      <c r="D15" s="25" t="n">
        <f>33230</f>
        <v>33230.0</v>
      </c>
      <c r="E15" s="37" t="n">
        <f>23836</f>
        <v>23836.0</v>
      </c>
      <c r="F15" s="25" t="n">
        <f>10964</f>
        <v>10964.0</v>
      </c>
      <c r="G15" s="37" t="n">
        <f>5720</f>
        <v>5720.0</v>
      </c>
      <c r="H15" s="25" t="n">
        <f>44194</f>
        <v>44194.0</v>
      </c>
      <c r="I15" s="37" t="n">
        <f>29556</f>
        <v>29556.0</v>
      </c>
      <c r="J15" s="25" t="n">
        <f>16620739833</f>
        <v>1.6620739833E10</v>
      </c>
      <c r="K15" s="37" t="n">
        <f>13552145833</f>
        <v>1.3552145833E10</v>
      </c>
      <c r="L15" s="25" t="n">
        <f>12161193078</f>
        <v>1.2161193078E10</v>
      </c>
      <c r="M15" s="37" t="n">
        <f>10282576078</f>
        <v>1.0282576078E10</v>
      </c>
      <c r="N15" s="25" t="n">
        <f>28781932911</f>
        <v>2.8781932911E10</v>
      </c>
      <c r="O15" s="37" t="n">
        <f>23834721911</f>
        <v>2.3834721911E10</v>
      </c>
    </row>
    <row r="16" spans="1:15" ht="24.9" customHeight="1">
      <c r="A16" s="38"/>
      <c r="B16" s="61" t="s">
        <v>105</v>
      </c>
      <c r="C16" s="16" t="s">
        <v>15</v>
      </c>
      <c r="D16" s="17" t="n">
        <f>24737</f>
        <v>24737.0</v>
      </c>
      <c r="E16" s="35" t="n">
        <f>2650</f>
        <v>2650.0</v>
      </c>
      <c r="F16" s="17" t="n">
        <f>18392</f>
        <v>18392.0</v>
      </c>
      <c r="G16" s="35" t="n">
        <f>740</f>
        <v>740.0</v>
      </c>
      <c r="H16" s="17" t="n">
        <f>43129</f>
        <v>43129.0</v>
      </c>
      <c r="I16" s="35" t="n">
        <f>3390</f>
        <v>3390.0</v>
      </c>
      <c r="J16" s="17" t="n">
        <f>2091096810</f>
        <v>2.09109681E9</v>
      </c>
      <c r="K16" s="35" t="n">
        <f>66076110</f>
        <v>6.607611E7</v>
      </c>
      <c r="L16" s="17" t="n">
        <f>3808007430</f>
        <v>3.80800743E9</v>
      </c>
      <c r="M16" s="35" t="n">
        <f>130423330</f>
        <v>1.3042333E8</v>
      </c>
      <c r="N16" s="17" t="n">
        <f>5899104240</f>
        <v>5.89910424E9</v>
      </c>
      <c r="O16" s="35" t="n">
        <f>196499440</f>
        <v>1.9649944E8</v>
      </c>
    </row>
    <row r="17" spans="1:15" ht="24.9" customHeight="1">
      <c r="A17" s="38"/>
      <c r="B17" s="62"/>
      <c r="C17" s="20" t="s">
        <v>16</v>
      </c>
      <c r="D17" s="21" t="n">
        <f>8910</f>
        <v>8910.0</v>
      </c>
      <c r="E17" s="36" t="n">
        <f>1100</f>
        <v>1100.0</v>
      </c>
      <c r="F17" s="21" t="n">
        <f>4198</f>
        <v>4198.0</v>
      </c>
      <c r="G17" s="36" t="n">
        <f>220</f>
        <v>220.0</v>
      </c>
      <c r="H17" s="21" t="n">
        <f>13108</f>
        <v>13108.0</v>
      </c>
      <c r="I17" s="36" t="n">
        <f>1320</f>
        <v>1320.0</v>
      </c>
      <c r="J17" s="21" t="n">
        <f>216464450</f>
        <v>2.1646445E8</v>
      </c>
      <c r="K17" s="36" t="n">
        <f>10648250</f>
        <v>1.064825E7</v>
      </c>
      <c r="L17" s="21" t="n">
        <f>174740340</f>
        <v>1.7474034E8</v>
      </c>
      <c r="M17" s="36" t="n">
        <f>2264440</f>
        <v>2264440.0</v>
      </c>
      <c r="N17" s="21" t="n">
        <f>391204790</f>
        <v>3.9120479E8</v>
      </c>
      <c r="O17" s="36" t="n">
        <f>12912690</f>
        <v>1.291269E7</v>
      </c>
    </row>
    <row r="18" spans="1:15" ht="24.9" customHeight="1">
      <c r="A18" s="38"/>
      <c r="B18" s="62"/>
      <c r="C18" s="20" t="s">
        <v>17</v>
      </c>
      <c r="D18" s="21" t="n">
        <f>6651</f>
        <v>6651.0</v>
      </c>
      <c r="E18" s="36" t="n">
        <f>890</f>
        <v>890.0</v>
      </c>
      <c r="F18" s="21" t="n">
        <f>3604</f>
        <v>3604.0</v>
      </c>
      <c r="G18" s="36" t="n">
        <f>170</f>
        <v>170.0</v>
      </c>
      <c r="H18" s="21" t="n">
        <f>10255</f>
        <v>10255.0</v>
      </c>
      <c r="I18" s="36" t="n">
        <f>1060</f>
        <v>1060.0</v>
      </c>
      <c r="J18" s="21" t="n">
        <f>208090750</f>
        <v>2.0809075E8</v>
      </c>
      <c r="K18" s="36" t="n">
        <f>8641950</f>
        <v>8641950.0</v>
      </c>
      <c r="L18" s="21" t="n">
        <f>229414110</f>
        <v>2.2941411E8</v>
      </c>
      <c r="M18" s="36" t="n">
        <f>2419910</f>
        <v>2419910.0</v>
      </c>
      <c r="N18" s="21" t="n">
        <f>437504860</f>
        <v>4.3750486E8</v>
      </c>
      <c r="O18" s="36" t="n">
        <f>11061860</f>
        <v>1.106186E7</v>
      </c>
    </row>
    <row r="19" spans="1:15" ht="24.9" customHeight="1">
      <c r="A19" s="38"/>
      <c r="B19" s="62"/>
      <c r="C19" s="24" t="s">
        <v>18</v>
      </c>
      <c r="D19" s="25" t="n">
        <f>40298</f>
        <v>40298.0</v>
      </c>
      <c r="E19" s="37" t="n">
        <f>4640</f>
        <v>4640.0</v>
      </c>
      <c r="F19" s="25" t="n">
        <f>26194</f>
        <v>26194.0</v>
      </c>
      <c r="G19" s="37" t="n">
        <f>1130</f>
        <v>1130.0</v>
      </c>
      <c r="H19" s="25" t="n">
        <f>66492</f>
        <v>66492.0</v>
      </c>
      <c r="I19" s="37" t="n">
        <f>5770</f>
        <v>5770.0</v>
      </c>
      <c r="J19" s="25" t="n">
        <f>2515652010</f>
        <v>2.51565201E9</v>
      </c>
      <c r="K19" s="37" t="n">
        <f>85366310</f>
        <v>8.536631E7</v>
      </c>
      <c r="L19" s="25" t="n">
        <f>4212161880</f>
        <v>4.21216188E9</v>
      </c>
      <c r="M19" s="37" t="n">
        <f>135107680</f>
        <v>1.3510768E8</v>
      </c>
      <c r="N19" s="25" t="n">
        <f>6727813890</f>
        <v>6.72781389E9</v>
      </c>
      <c r="O19" s="37" t="n">
        <f>220473990</f>
        <v>2.2047399E8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200</f>
        <v>200.0</v>
      </c>
      <c r="E21" s="36" t="n">
        <f>200</f>
        <v>200.0</v>
      </c>
      <c r="F21" s="21" t="n">
        <f>67</f>
        <v>67.0</v>
      </c>
      <c r="G21" s="36" t="n">
        <f>0</f>
        <v>0.0</v>
      </c>
      <c r="H21" s="21" t="n">
        <f>267</f>
        <v>267.0</v>
      </c>
      <c r="I21" s="36" t="n">
        <f>200</f>
        <v>200.0</v>
      </c>
      <c r="J21" s="21" t="n">
        <f>228000000</f>
        <v>2.28E8</v>
      </c>
      <c r="K21" s="36" t="n">
        <f>228000000</f>
        <v>2.28E8</v>
      </c>
      <c r="L21" s="21" t="n">
        <f>47956000</f>
        <v>4.7956E7</v>
      </c>
      <c r="M21" s="36" t="n">
        <f>0</f>
        <v>0.0</v>
      </c>
      <c r="N21" s="21" t="n">
        <f>275956000</f>
        <v>2.75956E8</v>
      </c>
      <c r="O21" s="36" t="n">
        <f>228000000</f>
        <v>2.28E8</v>
      </c>
    </row>
    <row r="22" spans="1:15" ht="24.9" customHeight="1">
      <c r="A22" s="38"/>
      <c r="B22" s="62"/>
      <c r="C22" s="20" t="s">
        <v>17</v>
      </c>
      <c r="D22" s="21" t="n">
        <f>50</f>
        <v>50.0</v>
      </c>
      <c r="E22" s="36" t="n">
        <f>50</f>
        <v>50.0</v>
      </c>
      <c r="F22" s="21" t="n">
        <f>824</f>
        <v>824.0</v>
      </c>
      <c r="G22" s="36" t="n">
        <f>820</f>
        <v>820.0</v>
      </c>
      <c r="H22" s="21" t="n">
        <f>874</f>
        <v>874.0</v>
      </c>
      <c r="I22" s="36" t="n">
        <f>870</f>
        <v>870.0</v>
      </c>
      <c r="J22" s="21" t="n">
        <f>80000000</f>
        <v>8.0E7</v>
      </c>
      <c r="K22" s="36" t="n">
        <f>80000000</f>
        <v>8.0E7</v>
      </c>
      <c r="L22" s="21" t="n">
        <f>307698610</f>
        <v>3.0769861E8</v>
      </c>
      <c r="M22" s="36" t="n">
        <f>305238610</f>
        <v>3.0523861E8</v>
      </c>
      <c r="N22" s="21" t="n">
        <f>387698610</f>
        <v>3.8769861E8</v>
      </c>
      <c r="O22" s="36" t="n">
        <f>385238610</f>
        <v>3.8523861E8</v>
      </c>
    </row>
    <row r="23" spans="1:15" ht="24.9" customHeight="1">
      <c r="A23" s="38"/>
      <c r="B23" s="62"/>
      <c r="C23" s="24" t="s">
        <v>18</v>
      </c>
      <c r="D23" s="25" t="n">
        <f>250</f>
        <v>250.0</v>
      </c>
      <c r="E23" s="37" t="n">
        <f>250</f>
        <v>250.0</v>
      </c>
      <c r="F23" s="25" t="n">
        <f>891</f>
        <v>891.0</v>
      </c>
      <c r="G23" s="37" t="n">
        <f>820</f>
        <v>820.0</v>
      </c>
      <c r="H23" s="25" t="n">
        <f>1141</f>
        <v>1141.0</v>
      </c>
      <c r="I23" s="37" t="n">
        <f>1070</f>
        <v>1070.0</v>
      </c>
      <c r="J23" s="25" t="n">
        <f>308000000</f>
        <v>3.08E8</v>
      </c>
      <c r="K23" s="37" t="n">
        <f>308000000</f>
        <v>3.08E8</v>
      </c>
      <c r="L23" s="25" t="n">
        <f>355654610</f>
        <v>3.5565461E8</v>
      </c>
      <c r="M23" s="37" t="n">
        <f>305238610</f>
        <v>3.0523861E8</v>
      </c>
      <c r="N23" s="25" t="n">
        <f>663654610</f>
        <v>6.6365461E8</v>
      </c>
      <c r="O23" s="37" t="n">
        <f>613238610</f>
        <v>6.1323861E8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60</f>
        <v>60.0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60</f>
        <v>60.0</v>
      </c>
      <c r="I36" s="18" t="n">
        <f>0</f>
        <v>0.0</v>
      </c>
      <c r="J36" s="17" t="n">
        <f>8400000</f>
        <v>8400000.0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8400000</f>
        <v>8400000.0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70</f>
        <v>70.0</v>
      </c>
      <c r="E38" s="36" t="n">
        <f>70</f>
        <v>70.0</v>
      </c>
      <c r="F38" s="21" t="n">
        <f>100</f>
        <v>100.0</v>
      </c>
      <c r="G38" s="36" t="n">
        <f>70</f>
        <v>70.0</v>
      </c>
      <c r="H38" s="21" t="n">
        <f>170</f>
        <v>170.0</v>
      </c>
      <c r="I38" s="36" t="n">
        <f>140</f>
        <v>140.0</v>
      </c>
      <c r="J38" s="21" t="n">
        <f>14350000</f>
        <v>1.435E7</v>
      </c>
      <c r="K38" s="36" t="n">
        <f>14350000</f>
        <v>1.435E7</v>
      </c>
      <c r="L38" s="21" t="n">
        <f>7950000</f>
        <v>7950000.0</v>
      </c>
      <c r="M38" s="36" t="n">
        <f>4900000</f>
        <v>4900000.0</v>
      </c>
      <c r="N38" s="21" t="n">
        <f>22300000</f>
        <v>2.23E7</v>
      </c>
      <c r="O38" s="36" t="n">
        <f>19250000</f>
        <v>1.925E7</v>
      </c>
    </row>
    <row r="39" spans="1:15" ht="24.9" customHeight="1">
      <c r="A39" s="38"/>
      <c r="B39" s="62"/>
      <c r="C39" s="24" t="s">
        <v>18</v>
      </c>
      <c r="D39" s="25" t="n">
        <f>130</f>
        <v>130.0</v>
      </c>
      <c r="E39" s="37" t="n">
        <f>70</f>
        <v>70.0</v>
      </c>
      <c r="F39" s="25" t="n">
        <f>100</f>
        <v>100.0</v>
      </c>
      <c r="G39" s="37" t="n">
        <f>70</f>
        <v>70.0</v>
      </c>
      <c r="H39" s="25" t="n">
        <f>230</f>
        <v>230.0</v>
      </c>
      <c r="I39" s="37" t="n">
        <f>140</f>
        <v>140.0</v>
      </c>
      <c r="J39" s="25" t="n">
        <f>22750000</f>
        <v>2.275E7</v>
      </c>
      <c r="K39" s="37" t="n">
        <f>14350000</f>
        <v>1.435E7</v>
      </c>
      <c r="L39" s="25" t="n">
        <f>7950000</f>
        <v>7950000.0</v>
      </c>
      <c r="M39" s="37" t="n">
        <f>4900000</f>
        <v>4900000.0</v>
      </c>
      <c r="N39" s="25" t="n">
        <f>30700000</f>
        <v>3.07E7</v>
      </c>
      <c r="O39" s="37" t="n">
        <f>19250000</f>
        <v>1.925E7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15455</f>
        <v>15455.0</v>
      </c>
      <c r="E41" s="36" t="n">
        <f>0</f>
        <v>0.0</v>
      </c>
      <c r="F41" s="21" t="n">
        <f>2089</f>
        <v>2089.0</v>
      </c>
      <c r="G41" s="36" t="n">
        <f>220</f>
        <v>220.0</v>
      </c>
      <c r="H41" s="21" t="n">
        <f>17544</f>
        <v>17544.0</v>
      </c>
      <c r="I41" s="36" t="n">
        <f>220</f>
        <v>220.0</v>
      </c>
      <c r="J41" s="21" t="n">
        <f>10317356</f>
        <v>1.0317356E7</v>
      </c>
      <c r="K41" s="36" t="n">
        <f>0</f>
        <v>0.0</v>
      </c>
      <c r="L41" s="21" t="n">
        <f>71905812</f>
        <v>7.1905812E7</v>
      </c>
      <c r="M41" s="36" t="n">
        <f>35024000</f>
        <v>3.5024E7</v>
      </c>
      <c r="N41" s="21" t="n">
        <f>82223168</f>
        <v>8.2223168E7</v>
      </c>
      <c r="O41" s="36" t="n">
        <f>35024000</f>
        <v>3.5024E7</v>
      </c>
    </row>
    <row r="42" spans="1:15" ht="24.9" customHeight="1">
      <c r="A42" s="38"/>
      <c r="B42" s="62"/>
      <c r="C42" s="20" t="s">
        <v>17</v>
      </c>
      <c r="D42" s="21" t="n">
        <f>4698</f>
        <v>4698.0</v>
      </c>
      <c r="E42" s="36" t="n">
        <f>1000</f>
        <v>1000.0</v>
      </c>
      <c r="F42" s="21" t="n">
        <f>6065</f>
        <v>6065.0</v>
      </c>
      <c r="G42" s="36" t="n">
        <f>1490</f>
        <v>1490.0</v>
      </c>
      <c r="H42" s="21" t="n">
        <f>10763</f>
        <v>10763.0</v>
      </c>
      <c r="I42" s="36" t="n">
        <f>2490</f>
        <v>2490.0</v>
      </c>
      <c r="J42" s="21" t="n">
        <f>47041518</f>
        <v>4.7041518E7</v>
      </c>
      <c r="K42" s="36" t="n">
        <f>36500000</f>
        <v>3.65E7</v>
      </c>
      <c r="L42" s="21" t="n">
        <f>72396164</f>
        <v>7.2396164E7</v>
      </c>
      <c r="M42" s="36" t="n">
        <f>54547000</f>
        <v>5.4547E7</v>
      </c>
      <c r="N42" s="21" t="n">
        <f>119437682</f>
        <v>1.19437682E8</v>
      </c>
      <c r="O42" s="36" t="n">
        <f>91047000</f>
        <v>9.1047E7</v>
      </c>
    </row>
    <row r="43" spans="1:15" ht="24.9" customHeight="1">
      <c r="A43" s="38"/>
      <c r="B43" s="62"/>
      <c r="C43" s="24" t="s">
        <v>18</v>
      </c>
      <c r="D43" s="25" t="n">
        <f>20153</f>
        <v>20153.0</v>
      </c>
      <c r="E43" s="37" t="n">
        <f>1000</f>
        <v>1000.0</v>
      </c>
      <c r="F43" s="25" t="n">
        <f>8154</f>
        <v>8154.0</v>
      </c>
      <c r="G43" s="37" t="n">
        <f>1710</f>
        <v>1710.0</v>
      </c>
      <c r="H43" s="25" t="n">
        <f>28307</f>
        <v>28307.0</v>
      </c>
      <c r="I43" s="37" t="n">
        <f>2710</f>
        <v>2710.0</v>
      </c>
      <c r="J43" s="25" t="n">
        <f>57358874</f>
        <v>5.7358874E7</v>
      </c>
      <c r="K43" s="37" t="n">
        <f>36500000</f>
        <v>3.65E7</v>
      </c>
      <c r="L43" s="25" t="n">
        <f>144301976</f>
        <v>1.44301976E8</v>
      </c>
      <c r="M43" s="37" t="n">
        <f>89571000</f>
        <v>8.9571E7</v>
      </c>
      <c r="N43" s="25" t="n">
        <f>201660850</f>
        <v>2.0166085E8</v>
      </c>
      <c r="O43" s="37" t="n">
        <f>126071000</f>
        <v>1.26071E8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