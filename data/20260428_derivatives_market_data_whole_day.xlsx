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<sst xmlns="http://schemas.openxmlformats.org/spreadsheetml/2006/main" count="528" uniqueCount="129">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</sst>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DATE(2026,04,28)</f>
        <v>46140.0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DATE(2026,04,28)</f>
        <v>46140.0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522598.0</f>
        <v>522598.0</v>
      </c>
      <c r="E12" s="18" t="n">
        <f>31785.0</f>
        <v>31785.0</v>
      </c>
      <c r="F12" s="19" t="n">
        <f>1.0</f>
        <v>1.0</v>
      </c>
      <c r="G12" s="17" t="n">
        <f>3390462028340.0</f>
        <v>3.39046202834E12</v>
      </c>
      <c r="H12" s="18" t="n">
        <f>266083859140.0</f>
        <v>2.6608385914E11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344967.0</f>
        <v>344967.0</v>
      </c>
      <c r="E13" s="22" t="n">
        <f>16179.0</f>
        <v>16179.0</v>
      </c>
      <c r="F13" s="23" t="n">
        <f>1.0</f>
        <v>1.0</v>
      </c>
      <c r="G13" s="21" t="n">
        <f>3521136906345.0</f>
        <v>3.521136906345E12</v>
      </c>
      <c r="H13" s="22" t="n">
        <f>314561992720.0</f>
        <v>3.1456199272E11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419139.0</f>
        <v>419139.0</v>
      </c>
      <c r="E14" s="22" t="n">
        <f>41145.0</f>
        <v>41145.0</v>
      </c>
      <c r="F14" s="23" t="n">
        <f>1.0</f>
        <v>1.0</v>
      </c>
      <c r="G14" s="21" t="n">
        <f>5655794933524.0</f>
        <v>5.655794933524E12</v>
      </c>
      <c r="H14" s="22" t="n">
        <f>940612591274.0</f>
        <v>9.40612591274E11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1286704.0</f>
        <v>1286704.0</v>
      </c>
      <c r="E15" s="26" t="n">
        <f>89109.0</f>
        <v>89109.0</v>
      </c>
      <c r="F15" s="27" t="n">
        <f>1.0</f>
        <v>1.0</v>
      </c>
      <c r="G15" s="25" t="n">
        <f>12567393868209.0</f>
        <v>1.2567393868209E13</v>
      </c>
      <c r="H15" s="26" t="n">
        <f>1521258443134.0</f>
        <v>1.521258443134E12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7763.0</f>
        <v>7763.0</v>
      </c>
      <c r="E16" s="18" t="n">
        <f>2.0</f>
        <v>2.0</v>
      </c>
      <c r="F16" s="19" t="n">
        <f>0.015</f>
        <v>0.015</v>
      </c>
      <c r="G16" s="17" t="n">
        <f>1003220657500.0</f>
        <v>1.0032206575E12</v>
      </c>
      <c r="H16" s="18" t="n">
        <f>259360000.0</f>
        <v>2.5936E8</v>
      </c>
      <c r="I16" s="19" t="n">
        <f>0.296</f>
        <v>0.296</v>
      </c>
    </row>
    <row r="17" spans="1:9" ht="24.9" customHeight="1">
      <c r="A17" s="41"/>
      <c r="B17" s="39"/>
      <c r="C17" s="20" t="s">
        <v>16</v>
      </c>
      <c r="D17" s="21" t="n">
        <f>10437.0</f>
        <v>10437.0</v>
      </c>
      <c r="E17" s="22" t="n">
        <f>863.0</f>
        <v>863.0</v>
      </c>
      <c r="F17" s="23" t="n">
        <f>0.03</f>
        <v>0.03</v>
      </c>
      <c r="G17" s="21" t="n">
        <f>1305613139375.0</f>
        <v>1.305613139375E12</v>
      </c>
      <c r="H17" s="22" t="n">
        <f>111902170000.0</f>
        <v>1.1190217E11</v>
      </c>
      <c r="I17" s="23" t="n">
        <f>0.371</f>
        <v>0.371</v>
      </c>
    </row>
    <row r="18" spans="1:9" ht="24.9" customHeight="1">
      <c r="A18" s="41"/>
      <c r="B18" s="39"/>
      <c r="C18" s="20" t="s">
        <v>17</v>
      </c>
      <c r="D18" s="21" t="n">
        <f>15925.0</f>
        <v>15925.0</v>
      </c>
      <c r="E18" s="22" t="n">
        <f>522.0</f>
        <v>522.0</v>
      </c>
      <c r="F18" s="23" t="n">
        <f>0.038</f>
        <v>0.038</v>
      </c>
      <c r="G18" s="21" t="n">
        <f>2000500480250.0</f>
        <v>2.00050048025E12</v>
      </c>
      <c r="H18" s="22" t="n">
        <f>67689780000.0</f>
        <v>6.768978E10</v>
      </c>
      <c r="I18" s="23" t="n">
        <f>0.354</f>
        <v>0.354</v>
      </c>
    </row>
    <row r="19" spans="1:9" ht="24.9" customHeight="1">
      <c r="A19" s="41"/>
      <c r="B19" s="39"/>
      <c r="C19" s="24" t="s">
        <v>18</v>
      </c>
      <c r="D19" s="25" t="n">
        <f>34125.0</f>
        <v>34125.0</v>
      </c>
      <c r="E19" s="26" t="n">
        <f>1387.0</f>
        <v>1387.0</v>
      </c>
      <c r="F19" s="27" t="n">
        <f>0.027</f>
        <v>0.027</v>
      </c>
      <c r="G19" s="25" t="n">
        <f>4309334277125.0</f>
        <v>4.309334277125E12</v>
      </c>
      <c r="H19" s="26" t="n">
        <f>179851310000.0</f>
        <v>1.7985131E11</v>
      </c>
      <c r="I19" s="27" t="n">
        <f>0.343</f>
        <v>0.343</v>
      </c>
    </row>
    <row r="20" spans="1:9" ht="24.9" customHeight="1">
      <c r="A20" s="41"/>
      <c r="B20" s="39" t="s">
        <v>21</v>
      </c>
      <c r="C20" s="16" t="s">
        <v>15</v>
      </c>
      <c r="D20" s="17" t="n">
        <f>505644.0</f>
        <v>505644.0</v>
      </c>
      <c r="E20" s="18" t="n">
        <f>31783.0</f>
        <v>31783.0</v>
      </c>
      <c r="F20" s="19" t="n">
        <f>0.968</f>
        <v>0.968</v>
      </c>
      <c r="G20" s="17" t="n">
        <f>2280754746340.0</f>
        <v>2.28075474634E12</v>
      </c>
      <c r="H20" s="18" t="n">
        <f>265824499140.0</f>
        <v>2.6582449914E11</v>
      </c>
      <c r="I20" s="19" t="n">
        <f>0.673</f>
        <v>0.673</v>
      </c>
    </row>
    <row r="21" spans="1:9" ht="24.9" customHeight="1">
      <c r="A21" s="41"/>
      <c r="B21" s="39"/>
      <c r="C21" s="20" t="s">
        <v>16</v>
      </c>
      <c r="D21" s="21" t="n">
        <f>327773.0</f>
        <v>327773.0</v>
      </c>
      <c r="E21" s="22" t="n">
        <f>15236.0</f>
        <v>15236.0</v>
      </c>
      <c r="F21" s="23" t="n">
        <f>0.95</f>
        <v>0.95</v>
      </c>
      <c r="G21" s="21" t="n">
        <f>2148000574870.0</f>
        <v>2.14800057487E12</v>
      </c>
      <c r="H21" s="22" t="n">
        <f>202505022720.0</f>
        <v>2.0250502272E11</v>
      </c>
      <c r="I21" s="23" t="n">
        <f>0.61</f>
        <v>0.61</v>
      </c>
    </row>
    <row r="22" spans="1:9" ht="24.9" customHeight="1">
      <c r="A22" s="41"/>
      <c r="B22" s="39"/>
      <c r="C22" s="20" t="s">
        <v>17</v>
      </c>
      <c r="D22" s="21" t="n">
        <f>389375.0</f>
        <v>389375.0</v>
      </c>
      <c r="E22" s="22" t="n">
        <f>40601.0</f>
        <v>40601.0</v>
      </c>
      <c r="F22" s="23" t="n">
        <f>0.929</f>
        <v>0.929</v>
      </c>
      <c r="G22" s="21" t="n">
        <f>3524811372474.0</f>
        <v>3.524811372474E12</v>
      </c>
      <c r="H22" s="22" t="n">
        <f>872818654274.0</f>
        <v>8.72818654274E11</v>
      </c>
      <c r="I22" s="23" t="n">
        <f>0.623</f>
        <v>0.623</v>
      </c>
    </row>
    <row r="23" spans="1:9" ht="24.9" customHeight="1">
      <c r="A23" s="41"/>
      <c r="B23" s="39"/>
      <c r="C23" s="24" t="s">
        <v>18</v>
      </c>
      <c r="D23" s="25" t="n">
        <f>1222792.0</f>
        <v>1222792.0</v>
      </c>
      <c r="E23" s="26" t="n">
        <f>87620.0</f>
        <v>87620.0</v>
      </c>
      <c r="F23" s="27" t="n">
        <f>0.95</f>
        <v>0.95</v>
      </c>
      <c r="G23" s="25" t="n">
        <f>7953566693684.0</f>
        <v>7.953566693684E12</v>
      </c>
      <c r="H23" s="26" t="n">
        <f>1341148176134.0</f>
        <v>1.341148176134E12</v>
      </c>
      <c r="I23" s="27" t="n">
        <f>0.633</f>
        <v>0.633</v>
      </c>
    </row>
    <row r="24" spans="1:9" ht="24.9" customHeight="1">
      <c r="A24" s="41"/>
      <c r="B24" s="39" t="s">
        <v>22</v>
      </c>
      <c r="C24" s="16" t="s">
        <v>15</v>
      </c>
      <c r="D24" s="17" t="n">
        <f>8815.0</f>
        <v>8815.0</v>
      </c>
      <c r="E24" s="18" t="n">
        <f>0.0</f>
        <v>0.0</v>
      </c>
      <c r="F24" s="19" t="n">
        <f>0.017</f>
        <v>0.017</v>
      </c>
      <c r="G24" s="17" t="n">
        <f>104825833500.0</f>
        <v>1.048258335E11</v>
      </c>
      <c r="H24" s="18" t="n">
        <f>0.0</f>
        <v>0.0</v>
      </c>
      <c r="I24" s="19" t="n">
        <f>0.031</f>
        <v>0.031</v>
      </c>
    </row>
    <row r="25" spans="1:9" ht="24.9" customHeight="1">
      <c r="A25" s="41"/>
      <c r="B25" s="39"/>
      <c r="C25" s="20" t="s">
        <v>16</v>
      </c>
      <c r="D25" s="21" t="n">
        <f>6579.0</f>
        <v>6579.0</v>
      </c>
      <c r="E25" s="22" t="n">
        <f>80.0</f>
        <v>80.0</v>
      </c>
      <c r="F25" s="23" t="n">
        <f>0.019</f>
        <v>0.019</v>
      </c>
      <c r="G25" s="21" t="n">
        <f>66743096600.0</f>
        <v>6.67430966E10</v>
      </c>
      <c r="H25" s="22" t="n">
        <f>154800000.0</f>
        <v>1.548E8</v>
      </c>
      <c r="I25" s="23" t="n">
        <f>0.019</f>
        <v>0.019</v>
      </c>
    </row>
    <row r="26" spans="1:9" ht="24.9" customHeight="1">
      <c r="A26" s="41"/>
      <c r="B26" s="39"/>
      <c r="C26" s="20" t="s">
        <v>17</v>
      </c>
      <c r="D26" s="21" t="n">
        <f>12597.0</f>
        <v>12597.0</v>
      </c>
      <c r="E26" s="22" t="n">
        <f>12.0</f>
        <v>12.0</v>
      </c>
      <c r="F26" s="23" t="n">
        <f>0.03</f>
        <v>0.03</v>
      </c>
      <c r="G26" s="21" t="n">
        <f>124928231300.0</f>
        <v>1.249282313E11</v>
      </c>
      <c r="H26" s="22" t="n">
        <f>59292000.0</f>
        <v>5.9292E7</v>
      </c>
      <c r="I26" s="23" t="n">
        <f>0.022</f>
        <v>0.022</v>
      </c>
    </row>
    <row r="27" spans="1:9" ht="24.9" customHeight="1">
      <c r="A27" s="42"/>
      <c r="B27" s="39"/>
      <c r="C27" s="24" t="s">
        <v>18</v>
      </c>
      <c r="D27" s="25" t="n">
        <f>27991.0</f>
        <v>27991.0</v>
      </c>
      <c r="E27" s="26" t="n">
        <f>92.0</f>
        <v>92.0</v>
      </c>
      <c r="F27" s="27" t="n">
        <f>0.022</f>
        <v>0.022</v>
      </c>
      <c r="G27" s="25" t="n">
        <f>296497161400.0</f>
        <v>2.964971614E11</v>
      </c>
      <c r="H27" s="26" t="n">
        <f>214092000.0</f>
        <v>2.14092E8</v>
      </c>
      <c r="I27" s="27" t="n">
        <f>0.024</f>
        <v>0.024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376.0</f>
        <v>376.0</v>
      </c>
      <c r="E28" s="18" t="n">
        <f>0.0</f>
        <v>0.0</v>
      </c>
      <c r="F28" s="19" t="n">
        <f>0.001</f>
        <v>0.001</v>
      </c>
      <c r="G28" s="17" t="n">
        <f>1660791000.0</f>
        <v>1.660791E9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178.0</f>
        <v>178.0</v>
      </c>
      <c r="E29" s="22" t="n">
        <f>0.0</f>
        <v>0.0</v>
      </c>
      <c r="F29" s="23" t="n">
        <f>0.001</f>
        <v>0.001</v>
      </c>
      <c r="G29" s="21" t="n">
        <f>780095500.0</f>
        <v>7.800955E8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1242.0</f>
        <v>1242.0</v>
      </c>
      <c r="E30" s="22" t="n">
        <f>10.0</f>
        <v>10.0</v>
      </c>
      <c r="F30" s="23" t="n">
        <f>0.003</f>
        <v>0.003</v>
      </c>
      <c r="G30" s="21" t="n">
        <f>5554849500.0</f>
        <v>5.5548495E9</v>
      </c>
      <c r="H30" s="22" t="n">
        <f>44865000.0</f>
        <v>4.4865E7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1796.0</f>
        <v>1796.0</v>
      </c>
      <c r="E31" s="26" t="n">
        <f>10.0</f>
        <v>10.0</v>
      </c>
      <c r="F31" s="27" t="n">
        <f>0.001</f>
        <v>0.001</v>
      </c>
      <c r="G31" s="25" t="n">
        <f>7995736000.0</f>
        <v>7.995736E9</v>
      </c>
      <c r="H31" s="26" t="n">
        <f>44865000.0</f>
        <v>4.4865E7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46140.0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46140.0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21000</f>
        <v>21000.0</v>
      </c>
      <c r="E11" s="18" t="n">
        <f>5181</f>
        <v>5181.0</v>
      </c>
      <c r="F11" s="19" t="n">
        <f>1</f>
        <v>1.0</v>
      </c>
      <c r="G11" s="17" t="n">
        <f>5169968400</f>
        <v>5.1699684E9</v>
      </c>
      <c r="H11" s="18" t="n">
        <f>2971204800</f>
        <v>2.9712048E9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28409</f>
        <v>28409.0</v>
      </c>
      <c r="E12" s="22" t="n">
        <f>6540</f>
        <v>6540.0</v>
      </c>
      <c r="F12" s="23" t="n">
        <f>1</f>
        <v>1.0</v>
      </c>
      <c r="G12" s="21" t="n">
        <f>11042920279</f>
        <v>1.1042920279E10</v>
      </c>
      <c r="H12" s="22" t="n">
        <f>8510719260</f>
        <v>8.51071926E9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56983</f>
        <v>56983.0</v>
      </c>
      <c r="E13" s="22" t="n">
        <f>24094</f>
        <v>24094.0</v>
      </c>
      <c r="F13" s="23" t="n">
        <f>1</f>
        <v>1.0</v>
      </c>
      <c r="G13" s="21" t="n">
        <f>14084227160</f>
        <v>1.408422716E10</v>
      </c>
      <c r="H13" s="22" t="n">
        <f>11382140937</f>
        <v>1.1382140937E10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106392</f>
        <v>106392.0</v>
      </c>
      <c r="E14" s="26" t="n">
        <f>35815</f>
        <v>35815.0</v>
      </c>
      <c r="F14" s="27" t="n">
        <f>1</f>
        <v>1.0</v>
      </c>
      <c r="G14" s="25" t="n">
        <f>30297115839</f>
        <v>3.0297115839E10</v>
      </c>
      <c r="H14" s="26" t="n">
        <f>22864064997</f>
        <v>2.2864064997E10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51</f>
        <v>51.0</v>
      </c>
      <c r="E15" s="18" t="n">
        <f>0</f>
        <v>0.0</v>
      </c>
      <c r="F15" s="19" t="n">
        <f>0.002</f>
        <v>0.002</v>
      </c>
      <c r="G15" s="17" t="n">
        <f>19210000</f>
        <v>1.921E7</v>
      </c>
      <c r="H15" s="18" t="n">
        <f>0</f>
        <v>0.0</v>
      </c>
      <c r="I15" s="19" t="n">
        <f>0.004</f>
        <v>0.004</v>
      </c>
    </row>
    <row r="16" spans="1:9" ht="24.9" customHeight="1">
      <c r="A16" s="41"/>
      <c r="B16" s="39"/>
      <c r="C16" s="20" t="s">
        <v>16</v>
      </c>
      <c r="D16" s="21" t="n">
        <f>130</f>
        <v>130.0</v>
      </c>
      <c r="E16" s="22" t="n">
        <f>50</f>
        <v>50.0</v>
      </c>
      <c r="F16" s="23" t="n">
        <f>0.005</f>
        <v>0.005</v>
      </c>
      <c r="G16" s="21" t="n">
        <f>11515000</f>
        <v>1.1515E7</v>
      </c>
      <c r="H16" s="22" t="n">
        <f>1625000</f>
        <v>1625000.0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325</f>
        <v>325.0</v>
      </c>
      <c r="E17" s="22" t="n">
        <f>125</f>
        <v>125.0</v>
      </c>
      <c r="F17" s="23" t="n">
        <f>0.006</f>
        <v>0.006</v>
      </c>
      <c r="G17" s="21" t="n">
        <f>41500000</f>
        <v>4.15E7</v>
      </c>
      <c r="H17" s="22" t="n">
        <f>34500000</f>
        <v>3.45E7</v>
      </c>
      <c r="I17" s="23" t="n">
        <f>0.003</f>
        <v>0.003</v>
      </c>
    </row>
    <row r="18" spans="1:9" ht="24.9" customHeight="1">
      <c r="A18" s="41"/>
      <c r="B18" s="39"/>
      <c r="C18" s="24" t="s">
        <v>18</v>
      </c>
      <c r="D18" s="25" t="n">
        <f>506</f>
        <v>506.0</v>
      </c>
      <c r="E18" s="26" t="n">
        <f>175</f>
        <v>175.0</v>
      </c>
      <c r="F18" s="27" t="n">
        <f>0.005</f>
        <v>0.005</v>
      </c>
      <c r="G18" s="25" t="n">
        <f>72225000</f>
        <v>7.2225E7</v>
      </c>
      <c r="H18" s="26" t="n">
        <f>36125000</f>
        <v>3.6125E7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20949</f>
        <v>20949.0</v>
      </c>
      <c r="E19" s="18" t="n">
        <f>5181</f>
        <v>5181.0</v>
      </c>
      <c r="F19" s="19" t="n">
        <f>0.998</f>
        <v>0.998</v>
      </c>
      <c r="G19" s="17" t="n">
        <f>5150758400</f>
        <v>5.1507584E9</v>
      </c>
      <c r="H19" s="18" t="n">
        <f>2971204800</f>
        <v>2.9712048E9</v>
      </c>
      <c r="I19" s="19" t="n">
        <f>0.996</f>
        <v>0.996</v>
      </c>
    </row>
    <row r="20" spans="1:9" ht="24.9" customHeight="1">
      <c r="A20" s="41"/>
      <c r="B20" s="39"/>
      <c r="C20" s="20" t="s">
        <v>16</v>
      </c>
      <c r="D20" s="21" t="n">
        <f>20765</f>
        <v>20765.0</v>
      </c>
      <c r="E20" s="22" t="n">
        <f>6490</f>
        <v>6490.0</v>
      </c>
      <c r="F20" s="23" t="n">
        <f>0.731</f>
        <v>0.731</v>
      </c>
      <c r="G20" s="21" t="n">
        <f>10983057760</f>
        <v>1.098305776E10</v>
      </c>
      <c r="H20" s="22" t="n">
        <f>8509094260</f>
        <v>8.50909426E9</v>
      </c>
      <c r="I20" s="23" t="n">
        <f>0.995</f>
        <v>0.995</v>
      </c>
    </row>
    <row r="21" spans="1:9" ht="24.9" customHeight="1">
      <c r="A21" s="41"/>
      <c r="B21" s="39"/>
      <c r="C21" s="20" t="s">
        <v>17</v>
      </c>
      <c r="D21" s="21" t="n">
        <f>36490</f>
        <v>36490.0</v>
      </c>
      <c r="E21" s="22" t="n">
        <f>18969</f>
        <v>18969.0</v>
      </c>
      <c r="F21" s="23" t="n">
        <f>0.64</f>
        <v>0.64</v>
      </c>
      <c r="G21" s="21" t="n">
        <f>13799158037</f>
        <v>1.3799158037E10</v>
      </c>
      <c r="H21" s="22" t="n">
        <f>11140140937</f>
        <v>1.1140140937E10</v>
      </c>
      <c r="I21" s="23" t="n">
        <f>0.98</f>
        <v>0.98</v>
      </c>
    </row>
    <row r="22" spans="1:9" ht="24.9" customHeight="1">
      <c r="A22" s="41"/>
      <c r="B22" s="39"/>
      <c r="C22" s="24" t="s">
        <v>18</v>
      </c>
      <c r="D22" s="25" t="n">
        <f>78204</f>
        <v>78204.0</v>
      </c>
      <c r="E22" s="26" t="n">
        <f>30640</f>
        <v>30640.0</v>
      </c>
      <c r="F22" s="27" t="n">
        <f>0.735</f>
        <v>0.735</v>
      </c>
      <c r="G22" s="25" t="n">
        <f>29932974197</f>
        <v>2.9932974197E10</v>
      </c>
      <c r="H22" s="26" t="n">
        <f>22620439997</f>
        <v>2.2620439997E10</v>
      </c>
      <c r="I22" s="27" t="n">
        <f>0.988</f>
        <v>0.988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7514</f>
        <v>7514.0</v>
      </c>
      <c r="E24" s="22" t="n">
        <f>0</f>
        <v>0.0</v>
      </c>
      <c r="F24" s="23" t="n">
        <f>0.264</f>
        <v>0.264</v>
      </c>
      <c r="G24" s="21" t="n">
        <f>48347519</f>
        <v>4.8347519E7</v>
      </c>
      <c r="H24" s="22" t="n">
        <f>0</f>
        <v>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20168</f>
        <v>20168.0</v>
      </c>
      <c r="E25" s="22" t="n">
        <f>5000</f>
        <v>5000.0</v>
      </c>
      <c r="F25" s="23" t="n">
        <f>0.354</f>
        <v>0.354</v>
      </c>
      <c r="G25" s="21" t="n">
        <f>243569123</f>
        <v>2.43569123E8</v>
      </c>
      <c r="H25" s="22" t="n">
        <f>207500000</f>
        <v>2.075E8</v>
      </c>
      <c r="I25" s="23" t="n">
        <f>0.017</f>
        <v>0.017</v>
      </c>
    </row>
    <row r="26" spans="1:9" ht="24.9" customHeight="1">
      <c r="A26" s="41"/>
      <c r="B26" s="39"/>
      <c r="C26" s="24" t="s">
        <v>18</v>
      </c>
      <c r="D26" s="25" t="n">
        <f>27682</f>
        <v>27682.0</v>
      </c>
      <c r="E26" s="26" t="n">
        <f>5000</f>
        <v>5000.0</v>
      </c>
      <c r="F26" s="27" t="n">
        <f>0.26</f>
        <v>0.26</v>
      </c>
      <c r="G26" s="25" t="n">
        <f>291916642</f>
        <v>2.91916642E8</v>
      </c>
      <c r="H26" s="26" t="n">
        <f>207500000</f>
        <v>2.075E8</v>
      </c>
      <c r="I26" s="27" t="n">
        <f>0.01</f>
        <v>0.01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46140.0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46140.0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7143.0</v>
      </c>
      <c r="F12" s="18" t="n">
        <f>1104</f>
        <v>1104.0</v>
      </c>
      <c r="G12" s="17" t="n">
        <v>4.3090106438E11</v>
      </c>
      <c r="H12" s="18" t="n">
        <f>66726634380</f>
        <v>6.672663438E10</v>
      </c>
    </row>
    <row r="13" spans="1:8" ht="24.9" customHeight="1">
      <c r="A13" s="51"/>
      <c r="B13" s="57"/>
      <c r="C13" s="39"/>
      <c r="D13" s="20" t="s">
        <v>16</v>
      </c>
      <c r="E13" s="21" t="n">
        <v>9078.0</v>
      </c>
      <c r="F13" s="22" t="n">
        <f>1391</f>
        <v>1391.0</v>
      </c>
      <c r="G13" s="21" t="n">
        <v>5.477260532E11</v>
      </c>
      <c r="H13" s="22" t="n">
        <f>83918343200</f>
        <v>8.39183432E10</v>
      </c>
    </row>
    <row r="14" spans="1:8" ht="24.9" customHeight="1">
      <c r="A14" s="51"/>
      <c r="B14" s="57"/>
      <c r="C14" s="39"/>
      <c r="D14" s="20" t="s">
        <v>17</v>
      </c>
      <c r="E14" s="21" t="n">
        <v>15837.0</v>
      </c>
      <c r="F14" s="22" t="n">
        <f>4539</f>
        <v>4539.0</v>
      </c>
      <c r="G14" s="21" t="n">
        <v>9.5088683996E11</v>
      </c>
      <c r="H14" s="22" t="n">
        <f>272773899960</f>
        <v>2.7277389996E11</v>
      </c>
    </row>
    <row r="15" spans="1:8" ht="24.9" customHeight="1">
      <c r="A15" s="51"/>
      <c r="B15" s="57"/>
      <c r="C15" s="39"/>
      <c r="D15" s="24" t="s">
        <v>18</v>
      </c>
      <c r="E15" s="25" t="n">
        <v>32058.0</v>
      </c>
      <c r="F15" s="26" t="n">
        <f>7034</f>
        <v>7034.0</v>
      </c>
      <c r="G15" s="25" t="n">
        <v>1.92951395754E12</v>
      </c>
      <c r="H15" s="26" t="n">
        <f>423418877540</f>
        <v>4.2341887754E11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183953.0</v>
      </c>
      <c r="F16" s="18" t="n">
        <f>29179</f>
        <v>29179.0</v>
      </c>
      <c r="G16" s="17" t="n">
        <v>1.10943746194E12</v>
      </c>
      <c r="H16" s="18" t="n">
        <f>176013461440</f>
        <v>1.7601346144E11</v>
      </c>
    </row>
    <row r="17" spans="1:8" ht="24.9" customHeight="1">
      <c r="A17" s="51"/>
      <c r="B17" s="57"/>
      <c r="C17" s="39"/>
      <c r="D17" s="20" t="s">
        <v>16</v>
      </c>
      <c r="E17" s="21" t="n">
        <v>131452.0</v>
      </c>
      <c r="F17" s="22" t="n">
        <f>12139</f>
        <v>12139.0</v>
      </c>
      <c r="G17" s="21" t="n">
        <v>7.932240318E11</v>
      </c>
      <c r="H17" s="22" t="n">
        <f>73247254300</f>
        <v>7.32472543E10</v>
      </c>
    </row>
    <row r="18" spans="1:8" ht="24.9" customHeight="1">
      <c r="A18" s="51"/>
      <c r="B18" s="57"/>
      <c r="C18" s="39"/>
      <c r="D18" s="20" t="s">
        <v>17</v>
      </c>
      <c r="E18" s="21" t="n">
        <v>157494.0</v>
      </c>
      <c r="F18" s="22" t="n">
        <f>22020</f>
        <v>22020.0</v>
      </c>
      <c r="G18" s="21" t="n">
        <v>9.4522316528E11</v>
      </c>
      <c r="H18" s="22" t="n">
        <f>132123283480</f>
        <v>1.3212328348E11</v>
      </c>
    </row>
    <row r="19" spans="1:8" ht="24.9" customHeight="1">
      <c r="A19" s="51"/>
      <c r="B19" s="57"/>
      <c r="C19" s="39"/>
      <c r="D19" s="24" t="s">
        <v>18</v>
      </c>
      <c r="E19" s="25" t="n">
        <v>472899.0</v>
      </c>
      <c r="F19" s="26" t="n">
        <f>63338</f>
        <v>63338.0</v>
      </c>
      <c r="G19" s="25" t="n">
        <v>2.84788465902E12</v>
      </c>
      <c r="H19" s="26" t="n">
        <f>381383999220</f>
        <v>3.8138399922E11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293112.0</v>
      </c>
      <c r="F20" s="18" t="str">
        <f>"－"</f>
        <v>－</v>
      </c>
      <c r="G20" s="17" t="n">
        <v>1.768353609E11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161292.0</v>
      </c>
      <c r="F21" s="22" t="str">
        <f>"－"</f>
        <v>－</v>
      </c>
      <c r="G21" s="21" t="n">
        <v>9.73178437E10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165038.0</v>
      </c>
      <c r="F22" s="22" t="str">
        <f>"－"</f>
        <v>－</v>
      </c>
      <c r="G22" s="21" t="n">
        <v>9.90738738E10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619442.0</v>
      </c>
      <c r="F23" s="26" t="str">
        <f>"－"</f>
        <v>－</v>
      </c>
      <c r="G23" s="25" t="n">
        <v>3.732270784E11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14562.0</v>
      </c>
      <c r="F24" s="18" t="n">
        <f>555</f>
        <v>555.0</v>
      </c>
      <c r="G24" s="17" t="n">
        <v>5.437995088E11</v>
      </c>
      <c r="H24" s="18" t="n">
        <f>20756043800</f>
        <v>2.07560438E10</v>
      </c>
    </row>
    <row r="25" spans="1:8" ht="24.9" customHeight="1">
      <c r="A25" s="51"/>
      <c r="B25" s="57"/>
      <c r="C25" s="39"/>
      <c r="D25" s="20" t="s">
        <v>16</v>
      </c>
      <c r="E25" s="21" t="n">
        <v>18207.0</v>
      </c>
      <c r="F25" s="22" t="n">
        <f>1160</f>
        <v>1160.0</v>
      </c>
      <c r="G25" s="21" t="n">
        <v>6.8412031E11</v>
      </c>
      <c r="H25" s="22" t="n">
        <f>43617655000</f>
        <v>4.3617655E10</v>
      </c>
    </row>
    <row r="26" spans="1:8" ht="24.9" customHeight="1">
      <c r="A26" s="51"/>
      <c r="B26" s="57"/>
      <c r="C26" s="39"/>
      <c r="D26" s="20" t="s">
        <v>17</v>
      </c>
      <c r="E26" s="21" t="n">
        <v>39559.0</v>
      </c>
      <c r="F26" s="22" t="n">
        <f>12264</f>
        <v>12264.0</v>
      </c>
      <c r="G26" s="21" t="n">
        <v>1.491940339769E12</v>
      </c>
      <c r="H26" s="22" t="n">
        <f>462878284769</f>
        <v>4.62878284769E11</v>
      </c>
    </row>
    <row r="27" spans="1:8" ht="24.9" customHeight="1">
      <c r="A27" s="51"/>
      <c r="B27" s="57"/>
      <c r="C27" s="39"/>
      <c r="D27" s="24" t="s">
        <v>18</v>
      </c>
      <c r="E27" s="25" t="n">
        <v>72328.0</v>
      </c>
      <c r="F27" s="26" t="n">
        <f>13979</f>
        <v>13979.0</v>
      </c>
      <c r="G27" s="25" t="n">
        <v>2.719860158569E12</v>
      </c>
      <c r="H27" s="26" t="n">
        <f>527251983569</f>
        <v>5.27251983569E11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3760.0</v>
      </c>
      <c r="F28" s="18" t="n">
        <f>291</f>
        <v>291.0</v>
      </c>
      <c r="G28" s="17" t="n">
        <v>1.403959575E10</v>
      </c>
      <c r="H28" s="18" t="n">
        <f>1086900250</f>
        <v>1.08690025E9</v>
      </c>
    </row>
    <row r="29" spans="1:8" ht="24.9" customHeight="1">
      <c r="A29" s="51"/>
      <c r="B29" s="57"/>
      <c r="C29" s="39"/>
      <c r="D29" s="20" t="s">
        <v>16</v>
      </c>
      <c r="E29" s="21" t="n">
        <v>5875.0</v>
      </c>
      <c r="F29" s="22" t="n">
        <f>235</f>
        <v>235.0</v>
      </c>
      <c r="G29" s="21" t="n">
        <v>2.207318075E10</v>
      </c>
      <c r="H29" s="22" t="n">
        <f>883041500</f>
        <v>8.830415E8</v>
      </c>
    </row>
    <row r="30" spans="1:8" ht="24.9" customHeight="1">
      <c r="A30" s="51"/>
      <c r="B30" s="57"/>
      <c r="C30" s="39"/>
      <c r="D30" s="20" t="s">
        <v>17</v>
      </c>
      <c r="E30" s="21" t="n">
        <v>7683.0</v>
      </c>
      <c r="F30" s="22" t="n">
        <f>227</f>
        <v>227.0</v>
      </c>
      <c r="G30" s="21" t="n">
        <v>2.8963960475E10</v>
      </c>
      <c r="H30" s="22" t="n">
        <f>855422475</f>
        <v>8.55422475E8</v>
      </c>
    </row>
    <row r="31" spans="1:8" ht="24.9" customHeight="1">
      <c r="A31" s="51"/>
      <c r="B31" s="57"/>
      <c r="C31" s="39"/>
      <c r="D31" s="24" t="s">
        <v>18</v>
      </c>
      <c r="E31" s="25" t="n">
        <v>17318.0</v>
      </c>
      <c r="F31" s="26" t="n">
        <f>753</f>
        <v>753.0</v>
      </c>
      <c r="G31" s="25" t="n">
        <v>6.5076736975E10</v>
      </c>
      <c r="H31" s="26" t="n">
        <f>2825364225</f>
        <v>2.825364225E9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281.0</v>
      </c>
      <c r="F36" s="18" t="n">
        <f>1</f>
        <v>1.0</v>
      </c>
      <c r="G36" s="17" t="n">
        <v>9.566785E8</v>
      </c>
      <c r="H36" s="18" t="n">
        <f>3411000</f>
        <v>3411000.0</v>
      </c>
    </row>
    <row r="37" spans="1:8" ht="24.9" customHeight="1">
      <c r="A37" s="51"/>
      <c r="B37" s="57"/>
      <c r="C37" s="39"/>
      <c r="D37" s="20" t="s">
        <v>16</v>
      </c>
      <c r="E37" s="21" t="n">
        <v>491.0</v>
      </c>
      <c r="F37" s="22" t="n">
        <f>1</f>
        <v>1.0</v>
      </c>
      <c r="G37" s="21" t="n">
        <v>1.68377751E9</v>
      </c>
      <c r="H37" s="22" t="n">
        <f>3441010</f>
        <v>3441010.0</v>
      </c>
    </row>
    <row r="38" spans="1:8" ht="24.9" customHeight="1">
      <c r="A38" s="51"/>
      <c r="B38" s="57"/>
      <c r="C38" s="39"/>
      <c r="D38" s="20" t="s">
        <v>17</v>
      </c>
      <c r="E38" s="21" t="n">
        <v>985.0</v>
      </c>
      <c r="F38" s="22" t="n">
        <f>65</f>
        <v>65.0</v>
      </c>
      <c r="G38" s="21" t="n">
        <v>3.382869E9</v>
      </c>
      <c r="H38" s="22" t="n">
        <f>223143000</f>
        <v>2.23143E8</v>
      </c>
    </row>
    <row r="39" spans="1:8" ht="24.9" customHeight="1">
      <c r="A39" s="51"/>
      <c r="B39" s="57"/>
      <c r="C39" s="39"/>
      <c r="D39" s="24" t="s">
        <v>18</v>
      </c>
      <c r="E39" s="25" t="n">
        <v>1757.0</v>
      </c>
      <c r="F39" s="26" t="n">
        <f>67</f>
        <v>67.0</v>
      </c>
      <c r="G39" s="25" t="n">
        <v>6.02332501E9</v>
      </c>
      <c r="H39" s="26" t="n">
        <f>229995010</f>
        <v>2.2999501E8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70.0</v>
      </c>
      <c r="F45" s="22" t="n">
        <f>70</f>
        <v>70.0</v>
      </c>
      <c r="G45" s="21" t="n">
        <v>4.137476E8</v>
      </c>
      <c r="H45" s="22" t="n">
        <f>413747600</f>
        <v>4.137476E8</v>
      </c>
    </row>
    <row r="46" spans="1:8" ht="24.9" customHeight="1">
      <c r="A46" s="51"/>
      <c r="B46" s="57"/>
      <c r="C46" s="39"/>
      <c r="D46" s="20" t="s">
        <v>17</v>
      </c>
      <c r="E46" s="21" t="n">
        <v>390.0</v>
      </c>
      <c r="F46" s="22" t="n">
        <f>390</f>
        <v>390.0</v>
      </c>
      <c r="G46" s="21" t="n">
        <v>2.3608E9</v>
      </c>
      <c r="H46" s="22" t="n">
        <f>2360800000</f>
        <v>2.3608E9</v>
      </c>
    </row>
    <row r="47" spans="1:8" ht="24.9" customHeight="1">
      <c r="A47" s="51"/>
      <c r="B47" s="57"/>
      <c r="C47" s="39"/>
      <c r="D47" s="24" t="s">
        <v>18</v>
      </c>
      <c r="E47" s="25" t="n">
        <v>460.0</v>
      </c>
      <c r="F47" s="26" t="n">
        <f>460</f>
        <v>460.0</v>
      </c>
      <c r="G47" s="25" t="n">
        <v>2.7745476E9</v>
      </c>
      <c r="H47" s="26" t="n">
        <f>2774547600</f>
        <v>2.7745476E9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639.0</v>
      </c>
      <c r="F48" s="18" t="n">
        <f>639</f>
        <v>639.0</v>
      </c>
      <c r="G48" s="17" t="n">
        <v>1.21087627E9</v>
      </c>
      <c r="H48" s="18" t="n">
        <f>1210876270</f>
        <v>1.21087627E9</v>
      </c>
    </row>
    <row r="49" spans="1:8" ht="24.9" customHeight="1">
      <c r="A49" s="51"/>
      <c r="B49" s="57"/>
      <c r="C49" s="39"/>
      <c r="D49" s="20" t="s">
        <v>16</v>
      </c>
      <c r="E49" s="21" t="n">
        <v>257.0</v>
      </c>
      <c r="F49" s="22" t="n">
        <f>211</f>
        <v>211.0</v>
      </c>
      <c r="G49" s="21" t="n">
        <v>4.8702751E8</v>
      </c>
      <c r="H49" s="22" t="n">
        <f>399826010</f>
        <v>3.9982601E8</v>
      </c>
    </row>
    <row r="50" spans="1:8" ht="24.9" customHeight="1">
      <c r="A50" s="51"/>
      <c r="B50" s="57"/>
      <c r="C50" s="39"/>
      <c r="D50" s="20" t="s">
        <v>17</v>
      </c>
      <c r="E50" s="21" t="n">
        <v>766.0</v>
      </c>
      <c r="F50" s="22" t="n">
        <f>673</f>
        <v>673.0</v>
      </c>
      <c r="G50" s="21" t="n">
        <v>1.43778873E9</v>
      </c>
      <c r="H50" s="22" t="n">
        <f>1263209730</f>
        <v>1.26320973E9</v>
      </c>
    </row>
    <row r="51" spans="1:8" ht="24.9" customHeight="1">
      <c r="A51" s="51"/>
      <c r="B51" s="57"/>
      <c r="C51" s="39"/>
      <c r="D51" s="24" t="s">
        <v>18</v>
      </c>
      <c r="E51" s="25" t="n">
        <v>1662.0</v>
      </c>
      <c r="F51" s="26" t="n">
        <f>1523</f>
        <v>1523.0</v>
      </c>
      <c r="G51" s="25" t="n">
        <v>3.13569251E9</v>
      </c>
      <c r="H51" s="26" t="n">
        <f>2873912010</f>
        <v>2.87391201E9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628.0</v>
      </c>
      <c r="F56" s="18" t="n">
        <f>10</f>
        <v>10.0</v>
      </c>
      <c r="G56" s="17" t="n">
        <v>4.670979E8</v>
      </c>
      <c r="H56" s="18" t="n">
        <f>7440900</f>
        <v>7440900.0</v>
      </c>
    </row>
    <row r="57" spans="1:8" ht="24.9" customHeight="1">
      <c r="A57" s="51"/>
      <c r="B57" s="57"/>
      <c r="C57" s="39"/>
      <c r="D57" s="20" t="s">
        <v>16</v>
      </c>
      <c r="E57" s="21" t="n">
        <v>898.0</v>
      </c>
      <c r="F57" s="22" t="n">
        <f>29</f>
        <v>29.0</v>
      </c>
      <c r="G57" s="21" t="n">
        <v>6.725921E8</v>
      </c>
      <c r="H57" s="22" t="n">
        <f>21714100</f>
        <v>2.17141E7</v>
      </c>
    </row>
    <row r="58" spans="1:8" ht="24.9" customHeight="1">
      <c r="A58" s="51"/>
      <c r="B58" s="57"/>
      <c r="C58" s="39"/>
      <c r="D58" s="20" t="s">
        <v>17</v>
      </c>
      <c r="E58" s="21" t="n">
        <v>1298.0</v>
      </c>
      <c r="F58" s="22" t="n">
        <f>420</f>
        <v>420.0</v>
      </c>
      <c r="G58" s="21" t="n">
        <v>9.8717096E8</v>
      </c>
      <c r="H58" s="22" t="n">
        <f>325789960</f>
        <v>3.2578996E8</v>
      </c>
    </row>
    <row r="59" spans="1:8" ht="24.9" customHeight="1">
      <c r="A59" s="51"/>
      <c r="B59" s="57"/>
      <c r="C59" s="39"/>
      <c r="D59" s="24" t="s">
        <v>18</v>
      </c>
      <c r="E59" s="25" t="n">
        <v>2824.0</v>
      </c>
      <c r="F59" s="26" t="n">
        <f>459</f>
        <v>459.0</v>
      </c>
      <c r="G59" s="25" t="n">
        <v>2.12686096E9</v>
      </c>
      <c r="H59" s="26" t="n">
        <f>354944960</f>
        <v>3.5494496E8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83.0</v>
      </c>
      <c r="F60" s="18" t="n">
        <f>4</f>
        <v>4.0</v>
      </c>
      <c r="G60" s="17" t="n">
        <v>4.095033E8</v>
      </c>
      <c r="H60" s="18" t="n">
        <f>19731100</f>
        <v>1.97311E7</v>
      </c>
    </row>
    <row r="61" spans="1:8" ht="24.9" customHeight="1">
      <c r="A61" s="51"/>
      <c r="B61" s="57"/>
      <c r="C61" s="39"/>
      <c r="D61" s="20" t="s">
        <v>16</v>
      </c>
      <c r="E61" s="21" t="n">
        <v>12.0</v>
      </c>
      <c r="F61" s="22" t="n">
        <f>0</f>
        <v>0.0</v>
      </c>
      <c r="G61" s="21" t="n">
        <v>5.93027E7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12.0</v>
      </c>
      <c r="F62" s="22" t="n">
        <f>3</f>
        <v>3.0</v>
      </c>
      <c r="G62" s="21" t="n">
        <v>5.92741E7</v>
      </c>
      <c r="H62" s="22" t="n">
        <f>14820900</f>
        <v>1.48209E7</v>
      </c>
    </row>
    <row r="63" spans="1:8" ht="24.9" customHeight="1">
      <c r="A63" s="51"/>
      <c r="B63" s="57"/>
      <c r="C63" s="39"/>
      <c r="D63" s="24" t="s">
        <v>18</v>
      </c>
      <c r="E63" s="25" t="n">
        <v>107.0</v>
      </c>
      <c r="F63" s="26" t="n">
        <f>7</f>
        <v>7.0</v>
      </c>
      <c r="G63" s="25" t="n">
        <v>5.280801E8</v>
      </c>
      <c r="H63" s="26" t="n">
        <f>34552000</f>
        <v>3.4552E7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330000.0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330000.0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2.0</v>
      </c>
      <c r="F79" s="26" t="n">
        <f>0</f>
        <v>0.0</v>
      </c>
      <c r="G79" s="25" t="n">
        <v>660000.0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1000.0</v>
      </c>
      <c r="F92" s="18" t="n">
        <f>0</f>
        <v>0.0</v>
      </c>
      <c r="G92" s="17" t="n">
        <v>1.585702E9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140.0</v>
      </c>
      <c r="F93" s="22" t="n">
        <f>0</f>
        <v>0.0</v>
      </c>
      <c r="G93" s="21" t="n">
        <v>2.22378E8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312.0</v>
      </c>
      <c r="F94" s="22" t="n">
        <f>0</f>
        <v>0.0</v>
      </c>
      <c r="G94" s="21" t="n">
        <v>4.949604E8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1452.0</v>
      </c>
      <c r="F95" s="26" t="n">
        <f>0</f>
        <v>0.0</v>
      </c>
      <c r="G95" s="25" t="n">
        <v>2.3030404E9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452.0</v>
      </c>
      <c r="F96" s="18" t="n">
        <f>0</f>
        <v>0.0</v>
      </c>
      <c r="G96" s="17" t="n">
        <v>1.0540599E9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452.0</v>
      </c>
      <c r="F99" s="26" t="n">
        <f>0</f>
        <v>0.0</v>
      </c>
      <c r="G99" s="25" t="n">
        <v>1.0540599E9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31.0</v>
      </c>
      <c r="F100" s="18" t="n">
        <f>0</f>
        <v>0.0</v>
      </c>
      <c r="G100" s="17" t="n">
        <v>5.78367E7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31.0</v>
      </c>
      <c r="F103" s="26" t="n">
        <f>0</f>
        <v>0.0</v>
      </c>
      <c r="G103" s="25" t="n">
        <v>5.78367E7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7731.0</v>
      </c>
      <c r="F108" s="18" t="n">
        <f>2</f>
        <v>2.0</v>
      </c>
      <c r="G108" s="17" t="n">
        <v>1.00242864E12</v>
      </c>
      <c r="H108" s="18" t="n">
        <f>259360000</f>
        <v>2.5936E8</v>
      </c>
    </row>
    <row r="109" spans="1:8" ht="24.9" customHeight="1">
      <c r="A109" s="51"/>
      <c r="B109" s="57"/>
      <c r="C109" s="39"/>
      <c r="D109" s="20" t="s">
        <v>16</v>
      </c>
      <c r="E109" s="21" t="n">
        <v>10017.0</v>
      </c>
      <c r="F109" s="22" t="n">
        <f>863</f>
        <v>863.0</v>
      </c>
      <c r="G109" s="21" t="n">
        <v>1.29880533E12</v>
      </c>
      <c r="H109" s="22" t="n">
        <f>111902170000</f>
        <v>1.1190217E11</v>
      </c>
    </row>
    <row r="110" spans="1:8" ht="24.9" customHeight="1">
      <c r="A110" s="51"/>
      <c r="B110" s="57"/>
      <c r="C110" s="39"/>
      <c r="D110" s="20" t="s">
        <v>17</v>
      </c>
      <c r="E110" s="21" t="n">
        <v>15375.0</v>
      </c>
      <c r="F110" s="22" t="n">
        <f>522</f>
        <v>522.0</v>
      </c>
      <c r="G110" s="21" t="n">
        <v>1.99347381E12</v>
      </c>
      <c r="H110" s="22" t="n">
        <f>67689780000</f>
        <v>6.768978E10</v>
      </c>
    </row>
    <row r="111" spans="1:8" ht="24.9" customHeight="1">
      <c r="A111" s="51"/>
      <c r="B111" s="57"/>
      <c r="C111" s="39"/>
      <c r="D111" s="24" t="s">
        <v>18</v>
      </c>
      <c r="E111" s="25" t="n">
        <v>33123.0</v>
      </c>
      <c r="F111" s="26" t="n">
        <f>1387</f>
        <v>1387.0</v>
      </c>
      <c r="G111" s="25" t="n">
        <v>4.29470778E12</v>
      </c>
      <c r="H111" s="26" t="n">
        <f>179851310000</f>
        <v>1.7985131E11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305.0</v>
      </c>
      <c r="F113" s="22" t="n">
        <f>0</f>
        <v>0.0</v>
      </c>
      <c r="G113" s="21" t="n">
        <v>3.9543E9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211.0</v>
      </c>
      <c r="F114" s="22" t="n">
        <f>0</f>
        <v>0.0</v>
      </c>
      <c r="G114" s="21" t="n">
        <v>2.735877E9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516.0</v>
      </c>
      <c r="F115" s="26" t="n">
        <f>0</f>
        <v>0.0</v>
      </c>
      <c r="G115" s="25" t="n">
        <v>6.690177E9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269.0</v>
      </c>
      <c r="F118" s="22" t="n">
        <f>0</f>
        <v>0.0</v>
      </c>
      <c r="G118" s="21" t="n">
        <v>2.561547E9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269.0</v>
      </c>
      <c r="F119" s="26" t="n">
        <f>0</f>
        <v>0.0</v>
      </c>
      <c r="G119" s="25" t="n">
        <v>2.561547E9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32.0</v>
      </c>
      <c r="F120" s="18" t="n">
        <f>0</f>
        <v>0.0</v>
      </c>
      <c r="G120" s="17" t="n">
        <v>7.920175E8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115.0</v>
      </c>
      <c r="F121" s="22" t="n">
        <f>0</f>
        <v>0.0</v>
      </c>
      <c r="G121" s="21" t="n">
        <v>2.853509375E9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70.0</v>
      </c>
      <c r="F122" s="22" t="n">
        <f>0</f>
        <v>0.0</v>
      </c>
      <c r="G122" s="21" t="n">
        <v>1.72924625E9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217.0</v>
      </c>
      <c r="F123" s="26" t="n">
        <f>0</f>
        <v>0.0</v>
      </c>
      <c r="G123" s="25" t="n">
        <v>5.374773125E9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3688.0</v>
      </c>
      <c r="F124" s="18" t="n">
        <f>0</f>
        <v>0.0</v>
      </c>
      <c r="G124" s="17" t="n">
        <v>9.1381988E10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2201.0</v>
      </c>
      <c r="F125" s="22" t="n">
        <f>0</f>
        <v>0.0</v>
      </c>
      <c r="G125" s="21" t="n">
        <v>5.4672699E10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4251.0</v>
      </c>
      <c r="F126" s="22" t="n">
        <f>0</f>
        <v>0.0</v>
      </c>
      <c r="G126" s="21" t="n">
        <v>1.04393807E11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10140.0</v>
      </c>
      <c r="F127" s="26" t="n">
        <f>0</f>
        <v>0.0</v>
      </c>
      <c r="G127" s="25" t="n">
        <v>2.50448494E11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58.0</v>
      </c>
      <c r="F128" s="18" t="n">
        <f>0</f>
        <v>0.0</v>
      </c>
      <c r="G128" s="17" t="n">
        <v>1.432915E8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53.0</v>
      </c>
      <c r="F129" s="22" t="n">
        <f>0</f>
        <v>0.0</v>
      </c>
      <c r="G129" s="21" t="n">
        <v>1.309992E8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116.0</v>
      </c>
      <c r="F130" s="22" t="n">
        <f>0</f>
        <v>0.0</v>
      </c>
      <c r="G130" s="21" t="n">
        <v>2.84452E8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227.0</v>
      </c>
      <c r="F131" s="26" t="n">
        <f>0</f>
        <v>0.0</v>
      </c>
      <c r="G131" s="25" t="n">
        <v>5.587427E8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2364.0</v>
      </c>
      <c r="F132" s="18" t="n">
        <f>0</f>
        <v>0.0</v>
      </c>
      <c r="G132" s="17" t="n">
        <v>5.871561E9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1695.0</v>
      </c>
      <c r="F133" s="22" t="n">
        <f>0</f>
        <v>0.0</v>
      </c>
      <c r="G133" s="21" t="n">
        <v>4.2241868E9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4312.0</v>
      </c>
      <c r="F134" s="22" t="n">
        <f>0</f>
        <v>0.0</v>
      </c>
      <c r="G134" s="21" t="n">
        <v>1.06328083E10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8371.0</v>
      </c>
      <c r="F135" s="26" t="n">
        <f>0</f>
        <v>0.0</v>
      </c>
      <c r="G135" s="25" t="n">
        <v>2.07285561E10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122.0</v>
      </c>
      <c r="F136" s="18" t="n">
        <f>0</f>
        <v>0.0</v>
      </c>
      <c r="G136" s="17" t="n">
        <v>3.00138E8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81.0</v>
      </c>
      <c r="F137" s="22" t="n">
        <f>0</f>
        <v>0.0</v>
      </c>
      <c r="G137" s="21" t="n">
        <v>1.995854E8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141.0</v>
      </c>
      <c r="F138" s="22" t="n">
        <f>0</f>
        <v>0.0</v>
      </c>
      <c r="G138" s="21" t="n">
        <v>3.444075E8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344.0</v>
      </c>
      <c r="F139" s="26" t="n">
        <f>0</f>
        <v>0.0</v>
      </c>
      <c r="G139" s="25" t="n">
        <v>8.441309E8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4.0</v>
      </c>
      <c r="F142" s="22" t="n">
        <f>0</f>
        <v>0.0</v>
      </c>
      <c r="G142" s="21" t="n">
        <v>4.5111E7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4.0</v>
      </c>
      <c r="F143" s="26" t="n">
        <f>0</f>
        <v>0.0</v>
      </c>
      <c r="G143" s="25" t="n">
        <v>4.5111E7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1086.0</v>
      </c>
      <c r="F144" s="18" t="n">
        <f>0</f>
        <v>0.0</v>
      </c>
      <c r="G144" s="17" t="n">
        <v>5.508003E9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1096.0</v>
      </c>
      <c r="F145" s="22" t="n">
        <f>0</f>
        <v>0.0</v>
      </c>
      <c r="G145" s="21" t="n">
        <v>5.549041E9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1156.0</v>
      </c>
      <c r="F146" s="22" t="n">
        <f>12</f>
        <v>12.0</v>
      </c>
      <c r="G146" s="21" t="n">
        <v>5.7566665E9</v>
      </c>
      <c r="H146" s="22" t="n">
        <f>59292000</f>
        <v>5.9292E7</v>
      </c>
    </row>
    <row r="147" spans="1:8" ht="24.9" customHeight="1">
      <c r="A147" s="51"/>
      <c r="B147" s="57"/>
      <c r="C147" s="39"/>
      <c r="D147" s="24" t="s">
        <v>18</v>
      </c>
      <c r="E147" s="25" t="n">
        <v>3338.0</v>
      </c>
      <c r="F147" s="26" t="n">
        <f>12</f>
        <v>12.0</v>
      </c>
      <c r="G147" s="25" t="n">
        <v>1.68137105E10</v>
      </c>
      <c r="H147" s="26" t="n">
        <f>59292000</f>
        <v>5.9292E7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865.0</v>
      </c>
      <c r="F148" s="18" t="n">
        <f>0</f>
        <v>0.0</v>
      </c>
      <c r="G148" s="17" t="n">
        <v>8.957609E8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128.0</v>
      </c>
      <c r="F149" s="22" t="n">
        <f>0</f>
        <v>0.0</v>
      </c>
      <c r="G149" s="21" t="n">
        <v>1.317385E8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546.0</v>
      </c>
      <c r="F150" s="22" t="n">
        <f>0</f>
        <v>0.0</v>
      </c>
      <c r="G150" s="21" t="n">
        <v>5.5201E8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1539.0</v>
      </c>
      <c r="F151" s="26" t="n">
        <f>0</f>
        <v>0.0</v>
      </c>
      <c r="G151" s="25" t="n">
        <v>1.5795094E9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141.0</v>
      </c>
      <c r="F152" s="18" t="n">
        <f>0</f>
        <v>0.0</v>
      </c>
      <c r="G152" s="17" t="n">
        <v>1.436925E8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198.0</v>
      </c>
      <c r="F153" s="22" t="n">
        <f>0</f>
        <v>0.0</v>
      </c>
      <c r="G153" s="21" t="n">
        <v>2.007155E8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253.0</v>
      </c>
      <c r="F154" s="22" t="n">
        <f>0</f>
        <v>0.0</v>
      </c>
      <c r="G154" s="21" t="n">
        <v>2.518687E8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592.0</v>
      </c>
      <c r="F155" s="26" t="n">
        <f>0</f>
        <v>0.0</v>
      </c>
      <c r="G155" s="25" t="n">
        <v>5.962767E8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402.0</v>
      </c>
      <c r="F156" s="18" t="n">
        <f>0</f>
        <v>0.0</v>
      </c>
      <c r="G156" s="17" t="n">
        <v>4.069261E8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622.0</v>
      </c>
      <c r="F157" s="22" t="n">
        <f>0</f>
        <v>0.0</v>
      </c>
      <c r="G157" s="21" t="n">
        <v>6.273502E8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958.0</v>
      </c>
      <c r="F158" s="22" t="n">
        <f>0</f>
        <v>0.0</v>
      </c>
      <c r="G158" s="21" t="n">
        <v>9.459863E8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1982.0</v>
      </c>
      <c r="F159" s="26" t="n">
        <f>0</f>
        <v>0.0</v>
      </c>
      <c r="G159" s="25" t="n">
        <v>1.9802626E9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89.0</v>
      </c>
      <c r="F168" s="18" t="n">
        <f>0</f>
        <v>0.0</v>
      </c>
      <c r="G168" s="17" t="n">
        <v>1.744725E8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505.0</v>
      </c>
      <c r="F169" s="22" t="n">
        <f>80</f>
        <v>80.0</v>
      </c>
      <c r="G169" s="21" t="n">
        <v>1.006781E9</v>
      </c>
      <c r="H169" s="22" t="n">
        <f>154800000</f>
        <v>1.548E8</v>
      </c>
    </row>
    <row r="170" spans="1:8" ht="24.9" customHeight="1">
      <c r="A170" s="51"/>
      <c r="B170" s="57"/>
      <c r="C170" s="39"/>
      <c r="D170" s="20" t="s">
        <v>17</v>
      </c>
      <c r="E170" s="21" t="n">
        <v>807.0</v>
      </c>
      <c r="F170" s="22" t="n">
        <f>0</f>
        <v>0.0</v>
      </c>
      <c r="G170" s="21" t="n">
        <v>1.629572E9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1401.0</v>
      </c>
      <c r="F171" s="26" t="n">
        <f>80</f>
        <v>80.0</v>
      </c>
      <c r="G171" s="25" t="n">
        <v>2.8108255E9</v>
      </c>
      <c r="H171" s="26" t="n">
        <f>154800000</f>
        <v>1.548E8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53.0</v>
      </c>
      <c r="F178" s="22" t="n">
        <f>0</f>
        <v>0.0</v>
      </c>
      <c r="G178" s="21" t="n">
        <v>9.1542E7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53.0</v>
      </c>
      <c r="F179" s="26" t="n">
        <f>0</f>
        <v>0.0</v>
      </c>
      <c r="G179" s="25" t="n">
        <v>9.1542E7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376.0</v>
      </c>
      <c r="F204" s="18" t="n">
        <f>0</f>
        <v>0.0</v>
      </c>
      <c r="G204" s="17" t="n">
        <v>1.660791E9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178.0</v>
      </c>
      <c r="F205" s="22" t="n">
        <f>0</f>
        <v>0.0</v>
      </c>
      <c r="G205" s="21" t="n">
        <v>7.800955E8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1242.0</v>
      </c>
      <c r="F206" s="22" t="n">
        <f>10</f>
        <v>10.0</v>
      </c>
      <c r="G206" s="21" t="n">
        <v>5.5548495E9</v>
      </c>
      <c r="H206" s="22" t="n">
        <f>44865000</f>
        <v>4.4865E7</v>
      </c>
    </row>
    <row r="207" spans="1:8" ht="24.9" customHeight="1">
      <c r="A207" s="57"/>
      <c r="B207" s="59"/>
      <c r="C207" s="39"/>
      <c r="D207" s="24" t="s">
        <v>18</v>
      </c>
      <c r="E207" s="25" t="n">
        <v>1796.0</v>
      </c>
      <c r="F207" s="26" t="n">
        <f>10</f>
        <v>10.0</v>
      </c>
      <c r="G207" s="25" t="n">
        <v>7.995736E9</v>
      </c>
      <c r="H207" s="26" t="n">
        <f>44865000</f>
        <v>4.4865E7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46140.0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46140.0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3823</f>
        <v>3823.0</v>
      </c>
      <c r="E12" s="35" t="n">
        <f>1697</f>
        <v>1697.0</v>
      </c>
      <c r="F12" s="17" t="n">
        <f>2850</f>
        <v>2850.0</v>
      </c>
      <c r="G12" s="35" t="n">
        <f>1509</f>
        <v>1509.0</v>
      </c>
      <c r="H12" s="17" t="n">
        <f>6673</f>
        <v>6673.0</v>
      </c>
      <c r="I12" s="35" t="n">
        <f>3206</f>
        <v>3206.0</v>
      </c>
      <c r="J12" s="17" t="n">
        <f>2057680060</f>
        <v>2.05768006E9</v>
      </c>
      <c r="K12" s="35" t="n">
        <f>1552604060</f>
        <v>1.55260406E9</v>
      </c>
      <c r="L12" s="17" t="n">
        <f>1422839390</f>
        <v>1.42283939E9</v>
      </c>
      <c r="M12" s="35" t="n">
        <f>844699390</f>
        <v>8.4469939E8</v>
      </c>
      <c r="N12" s="17" t="n">
        <f>3480519450</f>
        <v>3.48051945E9</v>
      </c>
      <c r="O12" s="35" t="n">
        <f>2397303450</f>
        <v>2.39730345E9</v>
      </c>
    </row>
    <row r="13" spans="1:15" ht="24.9" customHeight="1">
      <c r="A13" s="38"/>
      <c r="B13" s="62"/>
      <c r="C13" s="20" t="s">
        <v>16</v>
      </c>
      <c r="D13" s="21" t="n">
        <f>5090</f>
        <v>5090.0</v>
      </c>
      <c r="E13" s="36" t="n">
        <f>2927</f>
        <v>2927.0</v>
      </c>
      <c r="F13" s="21" t="n">
        <f>5050</f>
        <v>5050.0</v>
      </c>
      <c r="G13" s="36" t="n">
        <f>2643</f>
        <v>2643.0</v>
      </c>
      <c r="H13" s="21" t="n">
        <f>10140</f>
        <v>10140.0</v>
      </c>
      <c r="I13" s="36" t="n">
        <f>5570</f>
        <v>5570.0</v>
      </c>
      <c r="J13" s="21" t="n">
        <f>6911013480</f>
        <v>6.91101348E9</v>
      </c>
      <c r="K13" s="36" t="n">
        <f>6350828480</f>
        <v>6.35082848E9</v>
      </c>
      <c r="L13" s="21" t="n">
        <f>3705381210</f>
        <v>3.70538121E9</v>
      </c>
      <c r="M13" s="36" t="n">
        <f>2138100210</f>
        <v>2.13810021E9</v>
      </c>
      <c r="N13" s="21" t="n">
        <f>10616394690</f>
        <v>1.061639469E10</v>
      </c>
      <c r="O13" s="36" t="n">
        <f>8488928690</f>
        <v>8.48892869E9</v>
      </c>
    </row>
    <row r="14" spans="1:15" ht="24.9" customHeight="1">
      <c r="A14" s="38"/>
      <c r="B14" s="62"/>
      <c r="C14" s="20" t="s">
        <v>17</v>
      </c>
      <c r="D14" s="21" t="n">
        <f>15238</f>
        <v>15238.0</v>
      </c>
      <c r="E14" s="36" t="n">
        <f>11225</f>
        <v>11225.0</v>
      </c>
      <c r="F14" s="21" t="n">
        <f>8856</f>
        <v>8856.0</v>
      </c>
      <c r="G14" s="36" t="n">
        <f>5038</f>
        <v>5038.0</v>
      </c>
      <c r="H14" s="21" t="n">
        <f>24094</f>
        <v>24094.0</v>
      </c>
      <c r="I14" s="36" t="n">
        <f>16263</f>
        <v>16263.0</v>
      </c>
      <c r="J14" s="21" t="n">
        <f>6693380417</f>
        <v>6.693380417E9</v>
      </c>
      <c r="K14" s="36" t="n">
        <f>5315242417</f>
        <v>5.315242417E9</v>
      </c>
      <c r="L14" s="21" t="n">
        <f>6299367396</f>
        <v>6.299367396E9</v>
      </c>
      <c r="M14" s="36" t="n">
        <f>5225976396</f>
        <v>5.225976396E9</v>
      </c>
      <c r="N14" s="21" t="n">
        <f>12992747813</f>
        <v>1.2992747813E10</v>
      </c>
      <c r="O14" s="36" t="n">
        <f>10541218813</f>
        <v>1.0541218813E10</v>
      </c>
    </row>
    <row r="15" spans="1:15" ht="24.9" customHeight="1">
      <c r="A15" s="38"/>
      <c r="B15" s="62"/>
      <c r="C15" s="24" t="s">
        <v>18</v>
      </c>
      <c r="D15" s="25" t="n">
        <f>24151</f>
        <v>24151.0</v>
      </c>
      <c r="E15" s="37" t="n">
        <f>15849</f>
        <v>15849.0</v>
      </c>
      <c r="F15" s="25" t="n">
        <f>16756</f>
        <v>16756.0</v>
      </c>
      <c r="G15" s="37" t="n">
        <f>9190</f>
        <v>9190.0</v>
      </c>
      <c r="H15" s="25" t="n">
        <f>40907</f>
        <v>40907.0</v>
      </c>
      <c r="I15" s="37" t="n">
        <f>25039</f>
        <v>25039.0</v>
      </c>
      <c r="J15" s="25" t="n">
        <f>15662073957</f>
        <v>1.5662073957E10</v>
      </c>
      <c r="K15" s="37" t="n">
        <f>13218674957</f>
        <v>1.3218674957E10</v>
      </c>
      <c r="L15" s="25" t="n">
        <f>11427587996</f>
        <v>1.1427587996E10</v>
      </c>
      <c r="M15" s="37" t="n">
        <f>8208775996</f>
        <v>8.208775996E9</v>
      </c>
      <c r="N15" s="25" t="n">
        <f>27089661953</f>
        <v>2.7089661953E10</v>
      </c>
      <c r="O15" s="37" t="n">
        <f>21427450953</f>
        <v>2.1427450953E10</v>
      </c>
    </row>
    <row r="16" spans="1:15" ht="24.9" customHeight="1">
      <c r="A16" s="38"/>
      <c r="B16" s="61" t="s">
        <v>105</v>
      </c>
      <c r="C16" s="16" t="s">
        <v>15</v>
      </c>
      <c r="D16" s="17" t="n">
        <f>8200</f>
        <v>8200.0</v>
      </c>
      <c r="E16" s="35" t="n">
        <f>900</f>
        <v>900.0</v>
      </c>
      <c r="F16" s="17" t="n">
        <f>5241</f>
        <v>5241.0</v>
      </c>
      <c r="G16" s="35" t="n">
        <f>240</f>
        <v>240.0</v>
      </c>
      <c r="H16" s="17" t="n">
        <f>13441</f>
        <v>13441.0</v>
      </c>
      <c r="I16" s="35" t="n">
        <f>1140</f>
        <v>1140.0</v>
      </c>
      <c r="J16" s="17" t="n">
        <f>282816640</f>
        <v>2.8281664E8</v>
      </c>
      <c r="K16" s="35" t="n">
        <f>10204240</f>
        <v>1.020424E7</v>
      </c>
      <c r="L16" s="17" t="n">
        <f>825803510</f>
        <v>8.2580351E8</v>
      </c>
      <c r="M16" s="35" t="n">
        <f>2078310</f>
        <v>2078310.0</v>
      </c>
      <c r="N16" s="17" t="n">
        <f>1108620150</f>
        <v>1.10862015E9</v>
      </c>
      <c r="O16" s="35" t="n">
        <f>12282550</f>
        <v>1.228255E7</v>
      </c>
    </row>
    <row r="17" spans="1:15" ht="24.9" customHeight="1">
      <c r="A17" s="38"/>
      <c r="B17" s="62"/>
      <c r="C17" s="20" t="s">
        <v>16</v>
      </c>
      <c r="D17" s="21" t="n">
        <f>4996</f>
        <v>4996.0</v>
      </c>
      <c r="E17" s="36" t="n">
        <f>590</f>
        <v>590.0</v>
      </c>
      <c r="F17" s="21" t="n">
        <f>5629</f>
        <v>5629.0</v>
      </c>
      <c r="G17" s="36" t="n">
        <f>330</f>
        <v>330.0</v>
      </c>
      <c r="H17" s="21" t="n">
        <f>10625</f>
        <v>10625.0</v>
      </c>
      <c r="I17" s="36" t="n">
        <f>920</f>
        <v>920.0</v>
      </c>
      <c r="J17" s="21" t="n">
        <f>86285480</f>
        <v>8.628548E7</v>
      </c>
      <c r="K17" s="36" t="n">
        <f>19090580</f>
        <v>1.909058E7</v>
      </c>
      <c r="L17" s="21" t="n">
        <f>280377590</f>
        <v>2.8037759E8</v>
      </c>
      <c r="M17" s="36" t="n">
        <f>1074990</f>
        <v>1074990.0</v>
      </c>
      <c r="N17" s="21" t="n">
        <f>366663070</f>
        <v>3.6666307E8</v>
      </c>
      <c r="O17" s="36" t="n">
        <f>20165570</f>
        <v>2.016557E7</v>
      </c>
    </row>
    <row r="18" spans="1:15" ht="24.9" customHeight="1">
      <c r="A18" s="38"/>
      <c r="B18" s="62"/>
      <c r="C18" s="20" t="s">
        <v>17</v>
      </c>
      <c r="D18" s="21" t="n">
        <f>5356</f>
        <v>5356.0</v>
      </c>
      <c r="E18" s="36" t="n">
        <f>600</f>
        <v>600.0</v>
      </c>
      <c r="F18" s="21" t="n">
        <f>5664</f>
        <v>5664.0</v>
      </c>
      <c r="G18" s="36" t="n">
        <f>730</f>
        <v>730.0</v>
      </c>
      <c r="H18" s="21" t="n">
        <f>11020</f>
        <v>11020.0</v>
      </c>
      <c r="I18" s="36" t="n">
        <f>1330</f>
        <v>1330.0</v>
      </c>
      <c r="J18" s="21" t="n">
        <f>98527310</f>
        <v>9.852731E7</v>
      </c>
      <c r="K18" s="36" t="n">
        <f>3672710</f>
        <v>3672710.0</v>
      </c>
      <c r="L18" s="21" t="n">
        <f>117094210</f>
        <v>1.1709421E8</v>
      </c>
      <c r="M18" s="36" t="n">
        <f>4460710</f>
        <v>4460710.0</v>
      </c>
      <c r="N18" s="21" t="n">
        <f>215621520</f>
        <v>2.1562152E8</v>
      </c>
      <c r="O18" s="36" t="n">
        <f>8133420</f>
        <v>8133420.0</v>
      </c>
    </row>
    <row r="19" spans="1:15" ht="24.9" customHeight="1">
      <c r="A19" s="38"/>
      <c r="B19" s="62"/>
      <c r="C19" s="24" t="s">
        <v>18</v>
      </c>
      <c r="D19" s="25" t="n">
        <f>18552</f>
        <v>18552.0</v>
      </c>
      <c r="E19" s="37" t="n">
        <f>2090</f>
        <v>2090.0</v>
      </c>
      <c r="F19" s="25" t="n">
        <f>16534</f>
        <v>16534.0</v>
      </c>
      <c r="G19" s="37" t="n">
        <f>1300</f>
        <v>1300.0</v>
      </c>
      <c r="H19" s="25" t="n">
        <f>35086</f>
        <v>35086.0</v>
      </c>
      <c r="I19" s="37" t="n">
        <f>3390</f>
        <v>3390.0</v>
      </c>
      <c r="J19" s="25" t="n">
        <f>467629430</f>
        <v>4.6762943E8</v>
      </c>
      <c r="K19" s="37" t="n">
        <f>32967530</f>
        <v>3.296753E7</v>
      </c>
      <c r="L19" s="25" t="n">
        <f>1223275310</f>
        <v>1.22327531E9</v>
      </c>
      <c r="M19" s="37" t="n">
        <f>7614010</f>
        <v>7614010.0</v>
      </c>
      <c r="N19" s="25" t="n">
        <f>1690904740</f>
        <v>1.69090474E9</v>
      </c>
      <c r="O19" s="37" t="n">
        <f>40581540</f>
        <v>4.058154E7</v>
      </c>
    </row>
    <row r="20" spans="1:15" ht="24.9" customHeight="1">
      <c r="A20" s="38"/>
      <c r="B20" s="61" t="s">
        <v>106</v>
      </c>
      <c r="C20" s="16" t="s">
        <v>15</v>
      </c>
      <c r="D20" s="17" t="n">
        <f>385</f>
        <v>385.0</v>
      </c>
      <c r="E20" s="35" t="n">
        <f>385</f>
        <v>385.0</v>
      </c>
      <c r="F20" s="17" t="n">
        <f>450</f>
        <v>450.0</v>
      </c>
      <c r="G20" s="35" t="n">
        <f>450</f>
        <v>450.0</v>
      </c>
      <c r="H20" s="17" t="n">
        <f>835</f>
        <v>835.0</v>
      </c>
      <c r="I20" s="35" t="n">
        <f>835</f>
        <v>835.0</v>
      </c>
      <c r="J20" s="17" t="n">
        <f>262908800</f>
        <v>2.629088E8</v>
      </c>
      <c r="K20" s="35" t="n">
        <f>262908800</f>
        <v>2.629088E8</v>
      </c>
      <c r="L20" s="17" t="n">
        <f>298710000</f>
        <v>2.9871E8</v>
      </c>
      <c r="M20" s="35" t="n">
        <f>298710000</f>
        <v>2.9871E8</v>
      </c>
      <c r="N20" s="17" t="n">
        <f>561618800</f>
        <v>5.616188E8</v>
      </c>
      <c r="O20" s="35" t="n">
        <f>561618800</f>
        <v>5.616188E8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762</f>
        <v>762.0</v>
      </c>
      <c r="E22" s="36" t="n">
        <f>762</f>
        <v>762.0</v>
      </c>
      <c r="F22" s="21" t="n">
        <f>614</f>
        <v>614.0</v>
      </c>
      <c r="G22" s="36" t="n">
        <f>614</f>
        <v>614.0</v>
      </c>
      <c r="H22" s="21" t="n">
        <f>1376</f>
        <v>1376.0</v>
      </c>
      <c r="I22" s="36" t="n">
        <f>1376</f>
        <v>1376.0</v>
      </c>
      <c r="J22" s="21" t="n">
        <f>237097000</f>
        <v>2.37097E8</v>
      </c>
      <c r="K22" s="36" t="n">
        <f>237097000</f>
        <v>2.37097E8</v>
      </c>
      <c r="L22" s="21" t="n">
        <f>353691704</f>
        <v>3.53691704E8</v>
      </c>
      <c r="M22" s="36" t="n">
        <f>353691704</f>
        <v>3.53691704E8</v>
      </c>
      <c r="N22" s="21" t="n">
        <f>590788704</f>
        <v>5.90788704E8</v>
      </c>
      <c r="O22" s="36" t="n">
        <f>590788704</f>
        <v>5.90788704E8</v>
      </c>
    </row>
    <row r="23" spans="1:15" ht="24.9" customHeight="1">
      <c r="A23" s="38"/>
      <c r="B23" s="62"/>
      <c r="C23" s="24" t="s">
        <v>18</v>
      </c>
      <c r="D23" s="25" t="n">
        <f>1147</f>
        <v>1147.0</v>
      </c>
      <c r="E23" s="37" t="n">
        <f>1147</f>
        <v>1147.0</v>
      </c>
      <c r="F23" s="25" t="n">
        <f>1064</f>
        <v>1064.0</v>
      </c>
      <c r="G23" s="37" t="n">
        <f>1064</f>
        <v>1064.0</v>
      </c>
      <c r="H23" s="25" t="n">
        <f>2211</f>
        <v>2211.0</v>
      </c>
      <c r="I23" s="37" t="n">
        <f>2211</f>
        <v>2211.0</v>
      </c>
      <c r="J23" s="25" t="n">
        <f>500005800</f>
        <v>5.000058E8</v>
      </c>
      <c r="K23" s="37" t="n">
        <f>500005800</f>
        <v>5.000058E8</v>
      </c>
      <c r="L23" s="25" t="n">
        <f>652401704</f>
        <v>6.52401704E8</v>
      </c>
      <c r="M23" s="37" t="n">
        <f>652401704</f>
        <v>6.52401704E8</v>
      </c>
      <c r="N23" s="25" t="n">
        <f>1152407504</f>
        <v>1.152407504E9</v>
      </c>
      <c r="O23" s="37" t="n">
        <f>1152407504</f>
        <v>1.152407504E9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20</f>
        <v>20.0</v>
      </c>
      <c r="E36" s="18" t="n">
        <f>0</f>
        <v>0.0</v>
      </c>
      <c r="F36" s="17" t="n">
        <f>31</f>
        <v>31.0</v>
      </c>
      <c r="G36" s="18" t="n">
        <f>0</f>
        <v>0.0</v>
      </c>
      <c r="H36" s="17" t="n">
        <f>51</f>
        <v>51.0</v>
      </c>
      <c r="I36" s="18" t="n">
        <f>0</f>
        <v>0.0</v>
      </c>
      <c r="J36" s="17" t="n">
        <f>9600000</f>
        <v>9600000.0</v>
      </c>
      <c r="K36" s="18" t="n">
        <f>0</f>
        <v>0.0</v>
      </c>
      <c r="L36" s="17" t="n">
        <f>9610000</f>
        <v>9610000.0</v>
      </c>
      <c r="M36" s="18" t="n">
        <f>0</f>
        <v>0.0</v>
      </c>
      <c r="N36" s="17" t="n">
        <f>19210000</f>
        <v>1.921E7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35</f>
        <v>35.0</v>
      </c>
      <c r="E37" s="22" t="n">
        <f>0</f>
        <v>0.0</v>
      </c>
      <c r="F37" s="21" t="n">
        <f>95</f>
        <v>95.0</v>
      </c>
      <c r="G37" s="22" t="n">
        <f>50</f>
        <v>50.0</v>
      </c>
      <c r="H37" s="21" t="n">
        <f>130</f>
        <v>130.0</v>
      </c>
      <c r="I37" s="22" t="n">
        <f>50</f>
        <v>50.0</v>
      </c>
      <c r="J37" s="21" t="n">
        <f>5450000</f>
        <v>5450000.0</v>
      </c>
      <c r="K37" s="22" t="n">
        <f>0</f>
        <v>0.0</v>
      </c>
      <c r="L37" s="21" t="n">
        <f>6065000</f>
        <v>6065000.0</v>
      </c>
      <c r="M37" s="22" t="n">
        <f>1625000</f>
        <v>1625000.0</v>
      </c>
      <c r="N37" s="21" t="n">
        <f>11515000</f>
        <v>1.1515E7</v>
      </c>
      <c r="O37" s="22" t="n">
        <f>1625000</f>
        <v>1625000.0</v>
      </c>
    </row>
    <row r="38" spans="1:15" ht="24.9" customHeight="1">
      <c r="A38" s="38"/>
      <c r="B38" s="62"/>
      <c r="C38" s="20" t="s">
        <v>17</v>
      </c>
      <c r="D38" s="21" t="n">
        <f>128</f>
        <v>128.0</v>
      </c>
      <c r="E38" s="36" t="n">
        <f>125</f>
        <v>125.0</v>
      </c>
      <c r="F38" s="21" t="n">
        <f>197</f>
        <v>197.0</v>
      </c>
      <c r="G38" s="36" t="n">
        <f>0</f>
        <v>0.0</v>
      </c>
      <c r="H38" s="21" t="n">
        <f>325</f>
        <v>325.0</v>
      </c>
      <c r="I38" s="36" t="n">
        <f>125</f>
        <v>125.0</v>
      </c>
      <c r="J38" s="21" t="n">
        <f>34960000</f>
        <v>3.496E7</v>
      </c>
      <c r="K38" s="36" t="n">
        <f>34500000</f>
        <v>3.45E7</v>
      </c>
      <c r="L38" s="21" t="n">
        <f>6540000</f>
        <v>6540000.0</v>
      </c>
      <c r="M38" s="36" t="n">
        <f>0</f>
        <v>0.0</v>
      </c>
      <c r="N38" s="21" t="n">
        <f>41500000</f>
        <v>4.15E7</v>
      </c>
      <c r="O38" s="36" t="n">
        <f>34500000</f>
        <v>3.45E7</v>
      </c>
    </row>
    <row r="39" spans="1:15" ht="24.9" customHeight="1">
      <c r="A39" s="38"/>
      <c r="B39" s="62"/>
      <c r="C39" s="24" t="s">
        <v>18</v>
      </c>
      <c r="D39" s="25" t="n">
        <f>183</f>
        <v>183.0</v>
      </c>
      <c r="E39" s="37" t="n">
        <f>125</f>
        <v>125.0</v>
      </c>
      <c r="F39" s="25" t="n">
        <f>323</f>
        <v>323.0</v>
      </c>
      <c r="G39" s="37" t="n">
        <f>50</f>
        <v>50.0</v>
      </c>
      <c r="H39" s="25" t="n">
        <f>506</f>
        <v>506.0</v>
      </c>
      <c r="I39" s="37" t="n">
        <f>175</f>
        <v>175.0</v>
      </c>
      <c r="J39" s="25" t="n">
        <f>50010000</f>
        <v>5.001E7</v>
      </c>
      <c r="K39" s="37" t="n">
        <f>34500000</f>
        <v>3.45E7</v>
      </c>
      <c r="L39" s="25" t="n">
        <f>22215000</f>
        <v>2.2215E7</v>
      </c>
      <c r="M39" s="37" t="n">
        <f>1625000</f>
        <v>1625000.0</v>
      </c>
      <c r="N39" s="25" t="n">
        <f>72225000</f>
        <v>7.2225E7</v>
      </c>
      <c r="O39" s="37" t="n">
        <f>36125000</f>
        <v>3.6125E7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942</f>
        <v>942.0</v>
      </c>
      <c r="E41" s="36" t="n">
        <f>0</f>
        <v>0.0</v>
      </c>
      <c r="F41" s="21" t="n">
        <f>6572</f>
        <v>6572.0</v>
      </c>
      <c r="G41" s="36" t="n">
        <f>0</f>
        <v>0.0</v>
      </c>
      <c r="H41" s="21" t="n">
        <f>7514</f>
        <v>7514.0</v>
      </c>
      <c r="I41" s="36" t="n">
        <f>0</f>
        <v>0.0</v>
      </c>
      <c r="J41" s="21" t="n">
        <f>11630085</f>
        <v>1.1630085E7</v>
      </c>
      <c r="K41" s="36" t="n">
        <f>0</f>
        <v>0.0</v>
      </c>
      <c r="L41" s="21" t="n">
        <f>36717434</f>
        <v>3.6717434E7</v>
      </c>
      <c r="M41" s="36" t="n">
        <f>0</f>
        <v>0.0</v>
      </c>
      <c r="N41" s="21" t="n">
        <f>48347519</f>
        <v>4.8347519E7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7506</f>
        <v>7506.0</v>
      </c>
      <c r="E42" s="36" t="n">
        <f>2500</f>
        <v>2500.0</v>
      </c>
      <c r="F42" s="21" t="n">
        <f>12662</f>
        <v>12662.0</v>
      </c>
      <c r="G42" s="36" t="n">
        <f>2500</f>
        <v>2500.0</v>
      </c>
      <c r="H42" s="21" t="n">
        <f>20168</f>
        <v>20168.0</v>
      </c>
      <c r="I42" s="36" t="n">
        <f>5000</f>
        <v>5000.0</v>
      </c>
      <c r="J42" s="21" t="n">
        <f>124484670</f>
        <v>1.2448467E8</v>
      </c>
      <c r="K42" s="36" t="n">
        <f>107000000</f>
        <v>1.07E8</v>
      </c>
      <c r="L42" s="21" t="n">
        <f>119084453</f>
        <v>1.19084453E8</v>
      </c>
      <c r="M42" s="36" t="n">
        <f>100500000</f>
        <v>1.005E8</v>
      </c>
      <c r="N42" s="21" t="n">
        <f>243569123</f>
        <v>2.43569123E8</v>
      </c>
      <c r="O42" s="36" t="n">
        <f>207500000</f>
        <v>2.075E8</v>
      </c>
    </row>
    <row r="43" spans="1:15" ht="24.9" customHeight="1">
      <c r="A43" s="38"/>
      <c r="B43" s="62"/>
      <c r="C43" s="24" t="s">
        <v>18</v>
      </c>
      <c r="D43" s="25" t="n">
        <f>8448</f>
        <v>8448.0</v>
      </c>
      <c r="E43" s="37" t="n">
        <f>2500</f>
        <v>2500.0</v>
      </c>
      <c r="F43" s="25" t="n">
        <f>19234</f>
        <v>19234.0</v>
      </c>
      <c r="G43" s="37" t="n">
        <f>2500</f>
        <v>2500.0</v>
      </c>
      <c r="H43" s="25" t="n">
        <f>27682</f>
        <v>27682.0</v>
      </c>
      <c r="I43" s="37" t="n">
        <f>5000</f>
        <v>5000.0</v>
      </c>
      <c r="J43" s="25" t="n">
        <f>136114755</f>
        <v>1.36114755E8</v>
      </c>
      <c r="K43" s="37" t="n">
        <f>107000000</f>
        <v>1.07E8</v>
      </c>
      <c r="L43" s="25" t="n">
        <f>155801887</f>
        <v>1.55801887E8</v>
      </c>
      <c r="M43" s="37" t="n">
        <f>100500000</f>
        <v>1.005E8</v>
      </c>
      <c r="N43" s="25" t="n">
        <f>291916642</f>
        <v>2.91916642E8</v>
      </c>
      <c r="O43" s="37" t="n">
        <f>207500000</f>
        <v>2.075E8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