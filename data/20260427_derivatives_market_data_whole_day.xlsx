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<sst xmlns="http://schemas.openxmlformats.org/spreadsheetml/2006/main" count="528" uniqueCount="129">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</sst>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DATE(2026,04,27)</f>
        <v>46139.0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DATE(2026,04,27)</f>
        <v>46139.0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818138.0</f>
        <v>818138.0</v>
      </c>
      <c r="E12" s="18" t="n">
        <f>35166.0</f>
        <v>35166.0</v>
      </c>
      <c r="F12" s="19" t="n">
        <f>1.0</f>
        <v>1.0</v>
      </c>
      <c r="G12" s="17" t="n">
        <f>4345975511840.0</f>
        <v>4.34597551184E12</v>
      </c>
      <c r="H12" s="18" t="n">
        <f>300314578865.0</f>
        <v>3.00314578865E11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553788.0</f>
        <v>553788.0</v>
      </c>
      <c r="E13" s="22" t="n">
        <f>21977.0</f>
        <v>21977.0</v>
      </c>
      <c r="F13" s="23" t="n">
        <f>1.0</f>
        <v>1.0</v>
      </c>
      <c r="G13" s="21" t="n">
        <f>4847249033235.0</f>
        <v>4.847249033235E12</v>
      </c>
      <c r="H13" s="22" t="n">
        <f>224101072260.0</f>
        <v>2.2410107226E11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517054.0</f>
        <v>517054.0</v>
      </c>
      <c r="E14" s="22" t="n">
        <f>40538.0</f>
        <v>40538.0</v>
      </c>
      <c r="F14" s="23" t="n">
        <f>1.0</f>
        <v>1.0</v>
      </c>
      <c r="G14" s="21" t="n">
        <f>4971920327864.0</f>
        <v>4.971920327864E12</v>
      </c>
      <c r="H14" s="22" t="n">
        <f>786528630439.0</f>
        <v>7.86528630439E11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1888980.0</f>
        <v>1888980.0</v>
      </c>
      <c r="E15" s="26" t="n">
        <f>97681.0</f>
        <v>97681.0</v>
      </c>
      <c r="F15" s="27" t="n">
        <f>1.0</f>
        <v>1.0</v>
      </c>
      <c r="G15" s="25" t="n">
        <f>14165144872939.0</f>
        <v>1.4165144872939E13</v>
      </c>
      <c r="H15" s="26" t="n">
        <f>1310944281564.0</f>
        <v>1.310944281564E12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7092.0</f>
        <v>7092.0</v>
      </c>
      <c r="E16" s="18" t="n">
        <f>469.0</f>
        <v>469.0</v>
      </c>
      <c r="F16" s="19" t="n">
        <f>0.009</f>
        <v>0.009</v>
      </c>
      <c r="G16" s="17" t="n">
        <f>915979054375.0</f>
        <v>9.15979054375E11</v>
      </c>
      <c r="H16" s="18" t="n">
        <f>60963370000.0</f>
        <v>6.096337E10</v>
      </c>
      <c r="I16" s="19" t="n">
        <f>0.211</f>
        <v>0.211</v>
      </c>
    </row>
    <row r="17" spans="1:9" ht="24.9" customHeight="1">
      <c r="A17" s="41"/>
      <c r="B17" s="39"/>
      <c r="C17" s="20" t="s">
        <v>16</v>
      </c>
      <c r="D17" s="21" t="n">
        <f>14858.0</f>
        <v>14858.0</v>
      </c>
      <c r="E17" s="22" t="n">
        <f>367.0</f>
        <v>367.0</v>
      </c>
      <c r="F17" s="23" t="n">
        <f>0.027</f>
        <v>0.027</v>
      </c>
      <c r="G17" s="21" t="n">
        <f>1826915151875.0</f>
        <v>1.826915151875E12</v>
      </c>
      <c r="H17" s="22" t="n">
        <f>47662140000.0</f>
        <v>4.766214E10</v>
      </c>
      <c r="I17" s="23" t="n">
        <f>0.377</f>
        <v>0.377</v>
      </c>
    </row>
    <row r="18" spans="1:9" ht="24.9" customHeight="1">
      <c r="A18" s="41"/>
      <c r="B18" s="39"/>
      <c r="C18" s="20" t="s">
        <v>17</v>
      </c>
      <c r="D18" s="21" t="n">
        <f>10164.0</f>
        <v>10164.0</v>
      </c>
      <c r="E18" s="22" t="n">
        <f>1873.0</f>
        <v>1873.0</v>
      </c>
      <c r="F18" s="23" t="n">
        <f>0.02</f>
        <v>0.02</v>
      </c>
      <c r="G18" s="21" t="n">
        <f>1269699263375.0</f>
        <v>1.269699263375E12</v>
      </c>
      <c r="H18" s="22" t="n">
        <f>243006980000.0</f>
        <v>2.4300698E11</v>
      </c>
      <c r="I18" s="23" t="n">
        <f>0.255</f>
        <v>0.255</v>
      </c>
    </row>
    <row r="19" spans="1:9" ht="24.9" customHeight="1">
      <c r="A19" s="41"/>
      <c r="B19" s="39"/>
      <c r="C19" s="24" t="s">
        <v>18</v>
      </c>
      <c r="D19" s="25" t="n">
        <f>32114.0</f>
        <v>32114.0</v>
      </c>
      <c r="E19" s="26" t="n">
        <f>2709.0</f>
        <v>2709.0</v>
      </c>
      <c r="F19" s="27" t="n">
        <f>0.017</f>
        <v>0.017</v>
      </c>
      <c r="G19" s="25" t="n">
        <f>4012593469625.0</f>
        <v>4.012593469625E12</v>
      </c>
      <c r="H19" s="26" t="n">
        <f>351632490000.0</f>
        <v>3.5163249E11</v>
      </c>
      <c r="I19" s="27" t="n">
        <f>0.283</f>
        <v>0.283</v>
      </c>
    </row>
    <row r="20" spans="1:9" ht="24.9" customHeight="1">
      <c r="A20" s="41"/>
      <c r="B20" s="39" t="s">
        <v>21</v>
      </c>
      <c r="C20" s="16" t="s">
        <v>15</v>
      </c>
      <c r="D20" s="17" t="n">
        <f>796095.0</f>
        <v>796095.0</v>
      </c>
      <c r="E20" s="18" t="n">
        <f>34669.0</f>
        <v>34669.0</v>
      </c>
      <c r="F20" s="19" t="n">
        <f>0.973</f>
        <v>0.973</v>
      </c>
      <c r="G20" s="17" t="n">
        <f>3283902734665.0</f>
        <v>3.283902734665E12</v>
      </c>
      <c r="H20" s="18" t="n">
        <f>239229678865.0</f>
        <v>2.39229678865E11</v>
      </c>
      <c r="I20" s="19" t="n">
        <f>0.756</f>
        <v>0.756</v>
      </c>
    </row>
    <row r="21" spans="1:9" ht="24.9" customHeight="1">
      <c r="A21" s="41"/>
      <c r="B21" s="39"/>
      <c r="C21" s="20" t="s">
        <v>16</v>
      </c>
      <c r="D21" s="21" t="n">
        <f>530798.0</f>
        <v>530798.0</v>
      </c>
      <c r="E21" s="22" t="n">
        <f>21608.0</f>
        <v>21608.0</v>
      </c>
      <c r="F21" s="23" t="n">
        <f>0.958</f>
        <v>0.958</v>
      </c>
      <c r="G21" s="21" t="n">
        <f>2937852475710.0</f>
        <v>2.93785247571E12</v>
      </c>
      <c r="H21" s="22" t="n">
        <f>176434982260.0</f>
        <v>1.7643498226E11</v>
      </c>
      <c r="I21" s="23" t="n">
        <f>0.606</f>
        <v>0.606</v>
      </c>
    </row>
    <row r="22" spans="1:9" ht="24.9" customHeight="1">
      <c r="A22" s="41"/>
      <c r="B22" s="39"/>
      <c r="C22" s="20" t="s">
        <v>17</v>
      </c>
      <c r="D22" s="21" t="n">
        <f>499134.0</f>
        <v>499134.0</v>
      </c>
      <c r="E22" s="22" t="n">
        <f>38554.0</f>
        <v>38554.0</v>
      </c>
      <c r="F22" s="23" t="n">
        <f>0.965</f>
        <v>0.965</v>
      </c>
      <c r="G22" s="21" t="n">
        <f>3632788315239.0</f>
        <v>3.632788315239E12</v>
      </c>
      <c r="H22" s="22" t="n">
        <f>543360179839.0</f>
        <v>5.43360179839E11</v>
      </c>
      <c r="I22" s="23" t="n">
        <f>0.731</f>
        <v>0.731</v>
      </c>
    </row>
    <row r="23" spans="1:9" ht="24.9" customHeight="1">
      <c r="A23" s="41"/>
      <c r="B23" s="39"/>
      <c r="C23" s="24" t="s">
        <v>18</v>
      </c>
      <c r="D23" s="25" t="n">
        <f>1826027.0</f>
        <v>1826027.0</v>
      </c>
      <c r="E23" s="26" t="n">
        <f>94831.0</f>
        <v>94831.0</v>
      </c>
      <c r="F23" s="27" t="n">
        <f>0.967</f>
        <v>0.967</v>
      </c>
      <c r="G23" s="25" t="n">
        <f>9854543525614.0</f>
        <v>9.854543525614E12</v>
      </c>
      <c r="H23" s="26" t="n">
        <f>959024840964.0</f>
        <v>9.59024840964E11</v>
      </c>
      <c r="I23" s="27" t="n">
        <f>0.696</f>
        <v>0.696</v>
      </c>
    </row>
    <row r="24" spans="1:9" ht="24.9" customHeight="1">
      <c r="A24" s="41"/>
      <c r="B24" s="39" t="s">
        <v>22</v>
      </c>
      <c r="C24" s="16" t="s">
        <v>15</v>
      </c>
      <c r="D24" s="17" t="n">
        <f>13638.0</f>
        <v>13638.0</v>
      </c>
      <c r="E24" s="18" t="n">
        <f>0.0</f>
        <v>0.0</v>
      </c>
      <c r="F24" s="19" t="n">
        <f>0.017</f>
        <v>0.017</v>
      </c>
      <c r="G24" s="17" t="n">
        <f>140348128300.0</f>
        <v>1.403481283E11</v>
      </c>
      <c r="H24" s="18" t="n">
        <f>0.0</f>
        <v>0.0</v>
      </c>
      <c r="I24" s="19" t="n">
        <f>0.032</f>
        <v>0.032</v>
      </c>
    </row>
    <row r="25" spans="1:9" ht="24.9" customHeight="1">
      <c r="A25" s="41"/>
      <c r="B25" s="39"/>
      <c r="C25" s="20" t="s">
        <v>16</v>
      </c>
      <c r="D25" s="21" t="n">
        <f>7834.0</f>
        <v>7834.0</v>
      </c>
      <c r="E25" s="22" t="n">
        <f>2.0</f>
        <v>2.0</v>
      </c>
      <c r="F25" s="23" t="n">
        <f>0.014</f>
        <v>0.014</v>
      </c>
      <c r="G25" s="21" t="n">
        <f>81181192650.0</f>
        <v>8.118119265E10</v>
      </c>
      <c r="H25" s="22" t="n">
        <f>3950000.0</f>
        <v>3950000.0</v>
      </c>
      <c r="I25" s="23" t="n">
        <f>0.017</f>
        <v>0.017</v>
      </c>
    </row>
    <row r="26" spans="1:9" ht="24.9" customHeight="1">
      <c r="A26" s="41"/>
      <c r="B26" s="39"/>
      <c r="C26" s="20" t="s">
        <v>17</v>
      </c>
      <c r="D26" s="21" t="n">
        <f>6560.0</f>
        <v>6560.0</v>
      </c>
      <c r="E26" s="22" t="n">
        <f>1.0</f>
        <v>1.0</v>
      </c>
      <c r="F26" s="23" t="n">
        <f>0.013</f>
        <v>0.013</v>
      </c>
      <c r="G26" s="21" t="n">
        <f>64511146150.0</f>
        <v>6.451114615E10</v>
      </c>
      <c r="H26" s="22" t="n">
        <f>24067000.0</f>
        <v>2.4067E7</v>
      </c>
      <c r="I26" s="23" t="n">
        <f>0.013</f>
        <v>0.013</v>
      </c>
    </row>
    <row r="27" spans="1:9" ht="24.9" customHeight="1">
      <c r="A27" s="42"/>
      <c r="B27" s="39"/>
      <c r="C27" s="24" t="s">
        <v>18</v>
      </c>
      <c r="D27" s="25" t="n">
        <f>28032.0</f>
        <v>28032.0</v>
      </c>
      <c r="E27" s="26" t="n">
        <f>3.0</f>
        <v>3.0</v>
      </c>
      <c r="F27" s="27" t="n">
        <f>0.015</f>
        <v>0.015</v>
      </c>
      <c r="G27" s="25" t="n">
        <f>286040467100.0</f>
        <v>2.860404671E11</v>
      </c>
      <c r="H27" s="26" t="n">
        <f>28017000.0</f>
        <v>2.8017E7</v>
      </c>
      <c r="I27" s="27" t="n">
        <f>0.02</f>
        <v>0.02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1313.0</f>
        <v>1313.0</v>
      </c>
      <c r="E28" s="18" t="n">
        <f>28.0</f>
        <v>28.0</v>
      </c>
      <c r="F28" s="19" t="n">
        <f>0.002</f>
        <v>0.002</v>
      </c>
      <c r="G28" s="17" t="n">
        <f>5745594500.0</f>
        <v>5.7455945E9</v>
      </c>
      <c r="H28" s="18" t="n">
        <f>121530000.0</f>
        <v>1.2153E8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298.0</f>
        <v>298.0</v>
      </c>
      <c r="E29" s="22" t="n">
        <f>0.0</f>
        <v>0.0</v>
      </c>
      <c r="F29" s="23" t="n">
        <f>0.001</f>
        <v>0.001</v>
      </c>
      <c r="G29" s="21" t="n">
        <f>1300213000.0</f>
        <v>1.300213E9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1196.0</f>
        <v>1196.0</v>
      </c>
      <c r="E30" s="22" t="n">
        <f>110.0</f>
        <v>110.0</v>
      </c>
      <c r="F30" s="23" t="n">
        <f>0.002</f>
        <v>0.002</v>
      </c>
      <c r="G30" s="21" t="n">
        <f>4921603100.0</f>
        <v>4.9216031E9</v>
      </c>
      <c r="H30" s="22" t="n">
        <f>137403600.0</f>
        <v>1.374036E8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2807.0</f>
        <v>2807.0</v>
      </c>
      <c r="E31" s="26" t="n">
        <f>138.0</f>
        <v>138.0</v>
      </c>
      <c r="F31" s="27" t="n">
        <f>0.001</f>
        <v>0.001</v>
      </c>
      <c r="G31" s="25" t="n">
        <f>11967410600.0</f>
        <v>1.19674106E10</v>
      </c>
      <c r="H31" s="26" t="n">
        <f>258933600.0</f>
        <v>2.589336E8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46139.0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46139.0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18210</f>
        <v>18210.0</v>
      </c>
      <c r="E11" s="18" t="n">
        <f>1967</f>
        <v>1967.0</v>
      </c>
      <c r="F11" s="19" t="n">
        <f>1</f>
        <v>1.0</v>
      </c>
      <c r="G11" s="17" t="n">
        <f>2465096810</f>
        <v>2.46509681E9</v>
      </c>
      <c r="H11" s="18" t="n">
        <f>1198732610</f>
        <v>1.19873261E9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37429</f>
        <v>37429.0</v>
      </c>
      <c r="E12" s="22" t="n">
        <f>8770</f>
        <v>8770.0</v>
      </c>
      <c r="F12" s="23" t="n">
        <f>1</f>
        <v>1.0</v>
      </c>
      <c r="G12" s="21" t="n">
        <f>6531666722</f>
        <v>6.531666722E9</v>
      </c>
      <c r="H12" s="22" t="n">
        <f>2767175660</f>
        <v>2.76717566E9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53582</f>
        <v>53582.0</v>
      </c>
      <c r="E13" s="22" t="n">
        <f>16892</f>
        <v>16892.0</v>
      </c>
      <c r="F13" s="23" t="n">
        <f>1</f>
        <v>1.0</v>
      </c>
      <c r="G13" s="21" t="n">
        <f>22128351744</f>
        <v>2.2128351744E10</v>
      </c>
      <c r="H13" s="22" t="n">
        <f>18395344545</f>
        <v>1.8395344545E10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109221</f>
        <v>109221.0</v>
      </c>
      <c r="E14" s="26" t="n">
        <f>27629</f>
        <v>27629.0</v>
      </c>
      <c r="F14" s="27" t="n">
        <f>1</f>
        <v>1.0</v>
      </c>
      <c r="G14" s="25" t="n">
        <f>31125115276</f>
        <v>3.1125115276E10</v>
      </c>
      <c r="H14" s="26" t="n">
        <f>22361252815</f>
        <v>2.2361252815E10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115</f>
        <v>115.0</v>
      </c>
      <c r="E16" s="22" t="n">
        <f>50</f>
        <v>50.0</v>
      </c>
      <c r="F16" s="23" t="n">
        <f>0.003</f>
        <v>0.003</v>
      </c>
      <c r="G16" s="21" t="n">
        <f>16480000</f>
        <v>1.648E7</v>
      </c>
      <c r="H16" s="22" t="n">
        <f>1500000</f>
        <v>1500000.0</v>
      </c>
      <c r="I16" s="23" t="n">
        <f>0.003</f>
        <v>0.003</v>
      </c>
    </row>
    <row r="17" spans="1:9" ht="24.9" customHeight="1">
      <c r="A17" s="41"/>
      <c r="B17" s="39"/>
      <c r="C17" s="20" t="s">
        <v>17</v>
      </c>
      <c r="D17" s="21" t="n">
        <f>27</f>
        <v>27.0</v>
      </c>
      <c r="E17" s="22" t="n">
        <f>0</f>
        <v>0.0</v>
      </c>
      <c r="F17" s="23" t="n">
        <f>0.001</f>
        <v>0.001</v>
      </c>
      <c r="G17" s="21" t="n">
        <f>4300000</f>
        <v>4300000.0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142</f>
        <v>142.0</v>
      </c>
      <c r="E18" s="26" t="n">
        <f>50</f>
        <v>50.0</v>
      </c>
      <c r="F18" s="27" t="n">
        <f>0.001</f>
        <v>0.001</v>
      </c>
      <c r="G18" s="25" t="n">
        <f>20780000</f>
        <v>2.078E7</v>
      </c>
      <c r="H18" s="26" t="n">
        <f>1500000</f>
        <v>1500000.0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18210</f>
        <v>18210.0</v>
      </c>
      <c r="E19" s="18" t="n">
        <f>1967</f>
        <v>1967.0</v>
      </c>
      <c r="F19" s="19" t="n">
        <f>1</f>
        <v>1.0</v>
      </c>
      <c r="G19" s="17" t="n">
        <f>2465096810</f>
        <v>2.46509681E9</v>
      </c>
      <c r="H19" s="18" t="n">
        <f>1198732610</f>
        <v>1.19873261E9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33817</f>
        <v>33817.0</v>
      </c>
      <c r="E20" s="22" t="n">
        <f>8320</f>
        <v>8320.0</v>
      </c>
      <c r="F20" s="23" t="n">
        <f>0.903</f>
        <v>0.903</v>
      </c>
      <c r="G20" s="21" t="n">
        <f>6491989860</f>
        <v>6.49198986E9</v>
      </c>
      <c r="H20" s="22" t="n">
        <f>2764395660</f>
        <v>2.76439566E9</v>
      </c>
      <c r="I20" s="23" t="n">
        <f>0.994</f>
        <v>0.994</v>
      </c>
    </row>
    <row r="21" spans="1:9" ht="24.9" customHeight="1">
      <c r="A21" s="41"/>
      <c r="B21" s="39"/>
      <c r="C21" s="20" t="s">
        <v>17</v>
      </c>
      <c r="D21" s="21" t="n">
        <f>47986</f>
        <v>47986.0</v>
      </c>
      <c r="E21" s="22" t="n">
        <f>16842</f>
        <v>16842.0</v>
      </c>
      <c r="F21" s="23" t="n">
        <f>0.896</f>
        <v>0.896</v>
      </c>
      <c r="G21" s="21" t="n">
        <f>22073271745</f>
        <v>2.2073271745E10</v>
      </c>
      <c r="H21" s="22" t="n">
        <f>18377444545</f>
        <v>1.8377444545E10</v>
      </c>
      <c r="I21" s="23" t="n">
        <f>0.998</f>
        <v>0.998</v>
      </c>
    </row>
    <row r="22" spans="1:9" ht="24.9" customHeight="1">
      <c r="A22" s="41"/>
      <c r="B22" s="39"/>
      <c r="C22" s="24" t="s">
        <v>18</v>
      </c>
      <c r="D22" s="25" t="n">
        <f>100013</f>
        <v>100013.0</v>
      </c>
      <c r="E22" s="26" t="n">
        <f>27129</f>
        <v>27129.0</v>
      </c>
      <c r="F22" s="27" t="n">
        <f>0.916</f>
        <v>0.916</v>
      </c>
      <c r="G22" s="25" t="n">
        <f>31030358415</f>
        <v>3.1030358415E10</v>
      </c>
      <c r="H22" s="26" t="n">
        <f>22340572815</f>
        <v>2.2340572815E10</v>
      </c>
      <c r="I22" s="27" t="n">
        <f>0.997</f>
        <v>0.997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3497</f>
        <v>3497.0</v>
      </c>
      <c r="E24" s="22" t="n">
        <f>400</f>
        <v>400.0</v>
      </c>
      <c r="F24" s="23" t="n">
        <f>0.093</f>
        <v>0.093</v>
      </c>
      <c r="G24" s="21" t="n">
        <f>23196862</f>
        <v>2.3196862E7</v>
      </c>
      <c r="H24" s="22" t="n">
        <f>1280000</f>
        <v>1280000.0</v>
      </c>
      <c r="I24" s="23" t="n">
        <f>0.004</f>
        <v>0.004</v>
      </c>
    </row>
    <row r="25" spans="1:9" ht="24.9" customHeight="1">
      <c r="A25" s="41"/>
      <c r="B25" s="39"/>
      <c r="C25" s="20" t="s">
        <v>17</v>
      </c>
      <c r="D25" s="21" t="n">
        <f>5569</f>
        <v>5569.0</v>
      </c>
      <c r="E25" s="22" t="n">
        <f>50</f>
        <v>50.0</v>
      </c>
      <c r="F25" s="23" t="n">
        <f>0.104</f>
        <v>0.104</v>
      </c>
      <c r="G25" s="21" t="n">
        <f>50779999</f>
        <v>5.0779999E7</v>
      </c>
      <c r="H25" s="22" t="n">
        <f>17900000</f>
        <v>1.79E7</v>
      </c>
      <c r="I25" s="23" t="n">
        <f>0.002</f>
        <v>0.002</v>
      </c>
    </row>
    <row r="26" spans="1:9" ht="24.9" customHeight="1">
      <c r="A26" s="41"/>
      <c r="B26" s="39"/>
      <c r="C26" s="24" t="s">
        <v>18</v>
      </c>
      <c r="D26" s="25" t="n">
        <f>9066</f>
        <v>9066.0</v>
      </c>
      <c r="E26" s="26" t="n">
        <f>450</f>
        <v>450.0</v>
      </c>
      <c r="F26" s="27" t="n">
        <f>0.083</f>
        <v>0.083</v>
      </c>
      <c r="G26" s="25" t="n">
        <f>73976861</f>
        <v>7.3976861E7</v>
      </c>
      <c r="H26" s="26" t="n">
        <f>19180000</f>
        <v>1.918E7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46139.0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46139.0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11110.0</v>
      </c>
      <c r="F12" s="18" t="n">
        <f>592</f>
        <v>592.0</v>
      </c>
      <c r="G12" s="17" t="n">
        <v>6.645297352E11</v>
      </c>
      <c r="H12" s="18" t="n">
        <f>35401505200</f>
        <v>3.54015052E10</v>
      </c>
    </row>
    <row r="13" spans="1:8" ht="24.9" customHeight="1">
      <c r="A13" s="51"/>
      <c r="B13" s="57"/>
      <c r="C13" s="39"/>
      <c r="D13" s="20" t="s">
        <v>16</v>
      </c>
      <c r="E13" s="21" t="n">
        <v>13204.0</v>
      </c>
      <c r="F13" s="22" t="n">
        <f>749</f>
        <v>749.0</v>
      </c>
      <c r="G13" s="21" t="n">
        <v>7.949900564E11</v>
      </c>
      <c r="H13" s="22" t="n">
        <f>45026391400</f>
        <v>4.50263914E10</v>
      </c>
    </row>
    <row r="14" spans="1:8" ht="24.9" customHeight="1">
      <c r="A14" s="51"/>
      <c r="B14" s="57"/>
      <c r="C14" s="39"/>
      <c r="D14" s="20" t="s">
        <v>17</v>
      </c>
      <c r="E14" s="21" t="n">
        <v>19506.0</v>
      </c>
      <c r="F14" s="22" t="n">
        <f>4328</f>
        <v>4328.0</v>
      </c>
      <c r="G14" s="21" t="n">
        <v>1.18290411446E12</v>
      </c>
      <c r="H14" s="22" t="n">
        <f>262577098460</f>
        <v>2.6257709846E11</v>
      </c>
    </row>
    <row r="15" spans="1:8" ht="24.9" customHeight="1">
      <c r="A15" s="51"/>
      <c r="B15" s="57"/>
      <c r="C15" s="39"/>
      <c r="D15" s="24" t="s">
        <v>18</v>
      </c>
      <c r="E15" s="25" t="n">
        <v>43820.0</v>
      </c>
      <c r="F15" s="26" t="n">
        <f>5669</f>
        <v>5669.0</v>
      </c>
      <c r="G15" s="25" t="n">
        <v>2.64242390606E12</v>
      </c>
      <c r="H15" s="26" t="n">
        <f>343004995060</f>
        <v>3.4300499506E11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283983.0</v>
      </c>
      <c r="F16" s="18" t="n">
        <f>33691</f>
        <v>33691.0</v>
      </c>
      <c r="G16" s="17" t="n">
        <v>1.699375220965E12</v>
      </c>
      <c r="H16" s="18" t="n">
        <f>201567673465</f>
        <v>2.01567673465E11</v>
      </c>
    </row>
    <row r="17" spans="1:8" ht="24.9" customHeight="1">
      <c r="A17" s="51"/>
      <c r="B17" s="57"/>
      <c r="C17" s="39"/>
      <c r="D17" s="20" t="s">
        <v>16</v>
      </c>
      <c r="E17" s="21" t="n">
        <v>201687.0</v>
      </c>
      <c r="F17" s="22" t="n">
        <f>20289</f>
        <v>20289.0</v>
      </c>
      <c r="G17" s="21" t="n">
        <v>1.213599255E12</v>
      </c>
      <c r="H17" s="22" t="n">
        <f>122076830500</f>
        <v>1.220768305E11</v>
      </c>
    </row>
    <row r="18" spans="1:8" ht="24.9" customHeight="1">
      <c r="A18" s="51"/>
      <c r="B18" s="57"/>
      <c r="C18" s="39"/>
      <c r="D18" s="20" t="s">
        <v>17</v>
      </c>
      <c r="E18" s="21" t="n">
        <v>198583.0</v>
      </c>
      <c r="F18" s="22" t="n">
        <f>28916</f>
        <v>28916.0</v>
      </c>
      <c r="G18" s="21" t="n">
        <v>1.204704816098E12</v>
      </c>
      <c r="H18" s="22" t="n">
        <f>175374078098</f>
        <v>1.75374078098E11</v>
      </c>
    </row>
    <row r="19" spans="1:8" ht="24.9" customHeight="1">
      <c r="A19" s="51"/>
      <c r="B19" s="57"/>
      <c r="C19" s="39"/>
      <c r="D19" s="24" t="s">
        <v>18</v>
      </c>
      <c r="E19" s="25" t="n">
        <v>684253.0</v>
      </c>
      <c r="F19" s="26" t="n">
        <f>82896</f>
        <v>82896.0</v>
      </c>
      <c r="G19" s="25" t="n">
        <v>4.117679292063E12</v>
      </c>
      <c r="H19" s="26" t="n">
        <f>499018582063</f>
        <v>4.99018582063E11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473638.0</v>
      </c>
      <c r="F20" s="18" t="str">
        <f>"－"</f>
        <v>－</v>
      </c>
      <c r="G20" s="17" t="n">
        <v>2.8340032685E11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281227.0</v>
      </c>
      <c r="F21" s="22" t="str">
        <f>"－"</f>
        <v>－</v>
      </c>
      <c r="G21" s="21" t="n">
        <v>1.6926101405E11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238620.0</v>
      </c>
      <c r="F22" s="22" t="str">
        <f>"－"</f>
        <v>－</v>
      </c>
      <c r="G22" s="21" t="n">
        <v>1.4479225705E11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993485.0</v>
      </c>
      <c r="F23" s="26" t="str">
        <f>"－"</f>
        <v>－</v>
      </c>
      <c r="G23" s="25" t="n">
        <v>5.9745359795E11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16311.0</v>
      </c>
      <c r="F24" s="18" t="n">
        <f>29</f>
        <v>29.0</v>
      </c>
      <c r="G24" s="17" t="n">
        <v>6.050122756E11</v>
      </c>
      <c r="H24" s="18" t="n">
        <f>1077890600</f>
        <v>1.0778906E9</v>
      </c>
    </row>
    <row r="25" spans="1:8" ht="24.9" customHeight="1">
      <c r="A25" s="51"/>
      <c r="B25" s="57"/>
      <c r="C25" s="39"/>
      <c r="D25" s="20" t="s">
        <v>16</v>
      </c>
      <c r="E25" s="21" t="n">
        <v>19003.0</v>
      </c>
      <c r="F25" s="22" t="n">
        <f>222</f>
        <v>222.0</v>
      </c>
      <c r="G25" s="21" t="n">
        <v>7.07113769E11</v>
      </c>
      <c r="H25" s="22" t="n">
        <f>8252499000</f>
        <v>8.252499E9</v>
      </c>
    </row>
    <row r="26" spans="1:8" ht="24.9" customHeight="1">
      <c r="A26" s="51"/>
      <c r="B26" s="57"/>
      <c r="C26" s="39"/>
      <c r="D26" s="20" t="s">
        <v>17</v>
      </c>
      <c r="E26" s="21" t="n">
        <v>28303.0</v>
      </c>
      <c r="F26" s="22" t="n">
        <f>2664</f>
        <v>2664.0</v>
      </c>
      <c r="G26" s="21" t="n">
        <v>1.059482705396E12</v>
      </c>
      <c r="H26" s="22" t="n">
        <f>99633595396</f>
        <v>9.9633595396E10</v>
      </c>
    </row>
    <row r="27" spans="1:8" ht="24.9" customHeight="1">
      <c r="A27" s="51"/>
      <c r="B27" s="57"/>
      <c r="C27" s="39"/>
      <c r="D27" s="24" t="s">
        <v>18</v>
      </c>
      <c r="E27" s="25" t="n">
        <v>63617.0</v>
      </c>
      <c r="F27" s="26" t="n">
        <f>2915</f>
        <v>2915.0</v>
      </c>
      <c r="G27" s="25" t="n">
        <v>2.371608749996E12</v>
      </c>
      <c r="H27" s="26" t="n">
        <f>108963984996</f>
        <v>1.08963984996E11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6525.0</v>
      </c>
      <c r="F28" s="18" t="n">
        <f>299</f>
        <v>299.0</v>
      </c>
      <c r="G28" s="17" t="n">
        <v>2.420005645E10</v>
      </c>
      <c r="H28" s="18" t="n">
        <f>1108961700</f>
        <v>1.1089617E9</v>
      </c>
    </row>
    <row r="29" spans="1:8" ht="24.9" customHeight="1">
      <c r="A29" s="51"/>
      <c r="B29" s="57"/>
      <c r="C29" s="39"/>
      <c r="D29" s="20" t="s">
        <v>16</v>
      </c>
      <c r="E29" s="21" t="n">
        <v>13149.0</v>
      </c>
      <c r="F29" s="22" t="n">
        <f>271</f>
        <v>271.0</v>
      </c>
      <c r="G29" s="21" t="n">
        <v>4.887487315E10</v>
      </c>
      <c r="H29" s="22" t="n">
        <f>1009929150</f>
        <v>1.00992915E9</v>
      </c>
    </row>
    <row r="30" spans="1:8" ht="24.9" customHeight="1">
      <c r="A30" s="51"/>
      <c r="B30" s="57"/>
      <c r="C30" s="39"/>
      <c r="D30" s="20" t="s">
        <v>17</v>
      </c>
      <c r="E30" s="21" t="n">
        <v>8479.0</v>
      </c>
      <c r="F30" s="22" t="n">
        <f>450</f>
        <v>450.0</v>
      </c>
      <c r="G30" s="21" t="n">
        <v>3.173874459E10</v>
      </c>
      <c r="H30" s="22" t="n">
        <f>1684475840</f>
        <v>1.68447584E9</v>
      </c>
    </row>
    <row r="31" spans="1:8" ht="24.9" customHeight="1">
      <c r="A31" s="51"/>
      <c r="B31" s="57"/>
      <c r="C31" s="39"/>
      <c r="D31" s="24" t="s">
        <v>18</v>
      </c>
      <c r="E31" s="25" t="n">
        <v>28153.0</v>
      </c>
      <c r="F31" s="26" t="n">
        <f>1020</f>
        <v>1020.0</v>
      </c>
      <c r="G31" s="25" t="n">
        <v>1.0481367419E11</v>
      </c>
      <c r="H31" s="26" t="n">
        <f>3803366690</f>
        <v>3.80336669E9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474.0</v>
      </c>
      <c r="F36" s="18" t="n">
        <f>2</f>
        <v>2.0</v>
      </c>
      <c r="G36" s="17" t="n">
        <v>1.6032245E9</v>
      </c>
      <c r="H36" s="18" t="n">
        <f>6762500</f>
        <v>6762500.0</v>
      </c>
    </row>
    <row r="37" spans="1:8" ht="24.9" customHeight="1">
      <c r="A37" s="51"/>
      <c r="B37" s="57"/>
      <c r="C37" s="39"/>
      <c r="D37" s="20" t="s">
        <v>16</v>
      </c>
      <c r="E37" s="21" t="n">
        <v>651.0</v>
      </c>
      <c r="F37" s="22" t="n">
        <f>3</f>
        <v>3.0</v>
      </c>
      <c r="G37" s="21" t="n">
        <v>2.20802751E9</v>
      </c>
      <c r="H37" s="22" t="n">
        <f>10213010</f>
        <v>1.021301E7</v>
      </c>
    </row>
    <row r="38" spans="1:8" ht="24.9" customHeight="1">
      <c r="A38" s="51"/>
      <c r="B38" s="57"/>
      <c r="C38" s="39"/>
      <c r="D38" s="20" t="s">
        <v>17</v>
      </c>
      <c r="E38" s="21" t="n">
        <v>838.0</v>
      </c>
      <c r="F38" s="22" t="n">
        <f>56</f>
        <v>56.0</v>
      </c>
      <c r="G38" s="21" t="n">
        <v>2.861313E9</v>
      </c>
      <c r="H38" s="22" t="n">
        <f>190988000</f>
        <v>1.90988E8</v>
      </c>
    </row>
    <row r="39" spans="1:8" ht="24.9" customHeight="1">
      <c r="A39" s="51"/>
      <c r="B39" s="57"/>
      <c r="C39" s="39"/>
      <c r="D39" s="24" t="s">
        <v>18</v>
      </c>
      <c r="E39" s="25" t="n">
        <v>1963.0</v>
      </c>
      <c r="F39" s="26" t="n">
        <f>61</f>
        <v>61.0</v>
      </c>
      <c r="G39" s="25" t="n">
        <v>6.67256501E9</v>
      </c>
      <c r="H39" s="26" t="n">
        <f>207963510</f>
        <v>2.0796351E8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190.0</v>
      </c>
      <c r="F46" s="22" t="n">
        <f>190</f>
        <v>190.0</v>
      </c>
      <c r="G46" s="21" t="n">
        <v>1.11055E9</v>
      </c>
      <c r="H46" s="22" t="n">
        <f>1110550000</f>
        <v>1.11055E9</v>
      </c>
    </row>
    <row r="47" spans="1:8" ht="24.9" customHeight="1">
      <c r="A47" s="51"/>
      <c r="B47" s="57"/>
      <c r="C47" s="39"/>
      <c r="D47" s="24" t="s">
        <v>18</v>
      </c>
      <c r="E47" s="25" t="n">
        <v>190.0</v>
      </c>
      <c r="F47" s="26" t="n">
        <f>190</f>
        <v>190.0</v>
      </c>
      <c r="G47" s="25" t="n">
        <v>1.11055E9</v>
      </c>
      <c r="H47" s="26" t="n">
        <f>1110550000</f>
        <v>1.11055E9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0.0</v>
      </c>
      <c r="F48" s="18" t="n">
        <f>0</f>
        <v>0.0</v>
      </c>
      <c r="G48" s="17" t="n">
        <v>0.0</v>
      </c>
      <c r="H48" s="18" t="n">
        <f>0</f>
        <v>0.0</v>
      </c>
    </row>
    <row r="49" spans="1:8" ht="24.9" customHeight="1">
      <c r="A49" s="51"/>
      <c r="B49" s="57"/>
      <c r="C49" s="39"/>
      <c r="D49" s="20" t="s">
        <v>16</v>
      </c>
      <c r="E49" s="21" t="n">
        <v>16.0</v>
      </c>
      <c r="F49" s="22" t="n">
        <f>0</f>
        <v>0.0</v>
      </c>
      <c r="G49" s="21" t="n">
        <v>3.02775E7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1222.0</v>
      </c>
      <c r="F50" s="22" t="n">
        <f>1092</f>
        <v>1092.0</v>
      </c>
      <c r="G50" s="21" t="n">
        <v>2.3156473E9</v>
      </c>
      <c r="H50" s="22" t="n">
        <f>2069306800</f>
        <v>2.0693068E9</v>
      </c>
    </row>
    <row r="51" spans="1:8" ht="24.9" customHeight="1">
      <c r="A51" s="51"/>
      <c r="B51" s="57"/>
      <c r="C51" s="39"/>
      <c r="D51" s="24" t="s">
        <v>18</v>
      </c>
      <c r="E51" s="25" t="n">
        <v>1238.0</v>
      </c>
      <c r="F51" s="26" t="n">
        <f>1092</f>
        <v>1092.0</v>
      </c>
      <c r="G51" s="25" t="n">
        <v>2.3459248E9</v>
      </c>
      <c r="H51" s="26" t="n">
        <f>2069306800</f>
        <v>2.0693068E9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1215.0</v>
      </c>
      <c r="F56" s="18" t="n">
        <f>50</f>
        <v>50.0</v>
      </c>
      <c r="G56" s="17" t="n">
        <v>9.088599E8</v>
      </c>
      <c r="H56" s="18" t="n">
        <f>37285900</f>
        <v>3.72859E7</v>
      </c>
    </row>
    <row r="57" spans="1:8" ht="24.9" customHeight="1">
      <c r="A57" s="51"/>
      <c r="B57" s="57"/>
      <c r="C57" s="39"/>
      <c r="D57" s="20" t="s">
        <v>16</v>
      </c>
      <c r="E57" s="21" t="n">
        <v>1438.0</v>
      </c>
      <c r="F57" s="22" t="n">
        <f>73</f>
        <v>73.0</v>
      </c>
      <c r="G57" s="21" t="n">
        <v>1.0681283E9</v>
      </c>
      <c r="H57" s="22" t="n">
        <f>54184300</f>
        <v>5.41843E7</v>
      </c>
    </row>
    <row r="58" spans="1:8" ht="24.9" customHeight="1">
      <c r="A58" s="51"/>
      <c r="B58" s="57"/>
      <c r="C58" s="39"/>
      <c r="D58" s="20" t="s">
        <v>17</v>
      </c>
      <c r="E58" s="21" t="n">
        <v>3004.0</v>
      </c>
      <c r="F58" s="22" t="n">
        <f>654</f>
        <v>654.0</v>
      </c>
      <c r="G58" s="21" t="n">
        <v>2.240545445E9</v>
      </c>
      <c r="H58" s="22" t="n">
        <f>488644445</f>
        <v>4.88644445E8</v>
      </c>
    </row>
    <row r="59" spans="1:8" ht="24.9" customHeight="1">
      <c r="A59" s="51"/>
      <c r="B59" s="57"/>
      <c r="C59" s="39"/>
      <c r="D59" s="24" t="s">
        <v>18</v>
      </c>
      <c r="E59" s="25" t="n">
        <v>5657.0</v>
      </c>
      <c r="F59" s="26" t="n">
        <f>777</f>
        <v>777.0</v>
      </c>
      <c r="G59" s="25" t="n">
        <v>4.217533645E9</v>
      </c>
      <c r="H59" s="26" t="n">
        <f>580114645</f>
        <v>5.80114645E8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98.0</v>
      </c>
      <c r="F60" s="18" t="n">
        <f>6</f>
        <v>6.0</v>
      </c>
      <c r="G60" s="17" t="n">
        <v>4.844888E8</v>
      </c>
      <c r="H60" s="18" t="n">
        <f>29599500</f>
        <v>2.95995E7</v>
      </c>
    </row>
    <row r="61" spans="1:8" ht="24.9" customHeight="1">
      <c r="A61" s="51"/>
      <c r="B61" s="57"/>
      <c r="C61" s="39"/>
      <c r="D61" s="20" t="s">
        <v>16</v>
      </c>
      <c r="E61" s="21" t="n">
        <v>14.0</v>
      </c>
      <c r="F61" s="22" t="n">
        <f>1</f>
        <v>1.0</v>
      </c>
      <c r="G61" s="21" t="n">
        <v>6.90473E7</v>
      </c>
      <c r="H61" s="22" t="n">
        <f>4934900</f>
        <v>4934900.0</v>
      </c>
    </row>
    <row r="62" spans="1:8" ht="24.9" customHeight="1">
      <c r="A62" s="51"/>
      <c r="B62" s="57"/>
      <c r="C62" s="39"/>
      <c r="D62" s="20" t="s">
        <v>17</v>
      </c>
      <c r="E62" s="21" t="n">
        <v>35.0</v>
      </c>
      <c r="F62" s="22" t="n">
        <f>4</f>
        <v>4.0</v>
      </c>
      <c r="G62" s="21" t="n">
        <v>1.727424E8</v>
      </c>
      <c r="H62" s="22" t="n">
        <f>19742800</f>
        <v>1.97428E7</v>
      </c>
    </row>
    <row r="63" spans="1:8" ht="24.9" customHeight="1">
      <c r="A63" s="51"/>
      <c r="B63" s="57"/>
      <c r="C63" s="39"/>
      <c r="D63" s="24" t="s">
        <v>18</v>
      </c>
      <c r="E63" s="25" t="n">
        <v>147.0</v>
      </c>
      <c r="F63" s="26" t="n">
        <f>11</f>
        <v>11.0</v>
      </c>
      <c r="G63" s="25" t="n">
        <v>7.262785E8</v>
      </c>
      <c r="H63" s="26" t="n">
        <f>54277200</f>
        <v>5.42772E7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200.0</v>
      </c>
      <c r="F74" s="22" t="n">
        <f>200</f>
        <v>200.0</v>
      </c>
      <c r="G74" s="21" t="n">
        <v>2.117E8</v>
      </c>
      <c r="H74" s="22" t="n">
        <f>211700000</f>
        <v>2.117E8</v>
      </c>
    </row>
    <row r="75" spans="1:8" ht="24.9" customHeight="1">
      <c r="A75" s="51"/>
      <c r="B75" s="57"/>
      <c r="C75" s="39"/>
      <c r="D75" s="24" t="s">
        <v>18</v>
      </c>
      <c r="E75" s="25" t="n">
        <v>200.0</v>
      </c>
      <c r="F75" s="26" t="n">
        <f>200</f>
        <v>200.0</v>
      </c>
      <c r="G75" s="25" t="n">
        <v>2.117E8</v>
      </c>
      <c r="H75" s="26" t="n">
        <f>211700000</f>
        <v>2.117E8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9.0</v>
      </c>
      <c r="F77" s="22" t="n">
        <f>0</f>
        <v>0.0</v>
      </c>
      <c r="G77" s="21" t="n">
        <v>3037500.0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4.0</v>
      </c>
      <c r="F78" s="22" t="n">
        <f>0</f>
        <v>0.0</v>
      </c>
      <c r="G78" s="21" t="n">
        <v>1329500.0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13.0</v>
      </c>
      <c r="F79" s="26" t="n">
        <f>0</f>
        <v>0.0</v>
      </c>
      <c r="G79" s="25" t="n">
        <v>4367000.0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2696.0</v>
      </c>
      <c r="F92" s="18" t="n">
        <f>0</f>
        <v>0.0</v>
      </c>
      <c r="G92" s="17" t="n">
        <v>4.2835994E9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400.0</v>
      </c>
      <c r="F93" s="22" t="n">
        <f>0</f>
        <v>0.0</v>
      </c>
      <c r="G93" s="21" t="n">
        <v>6.3499E8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100.0</v>
      </c>
      <c r="F94" s="22" t="n">
        <f>0</f>
        <v>0.0</v>
      </c>
      <c r="G94" s="21" t="n">
        <v>1.5863E8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3196.0</v>
      </c>
      <c r="F95" s="26" t="n">
        <f>0</f>
        <v>0.0</v>
      </c>
      <c r="G95" s="25" t="n">
        <v>5.0772194E9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45.0</v>
      </c>
      <c r="F96" s="18" t="n">
        <f>0</f>
        <v>0.0</v>
      </c>
      <c r="G96" s="17" t="n">
        <v>1.04947E8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45.0</v>
      </c>
      <c r="F99" s="26" t="n">
        <f>0</f>
        <v>0.0</v>
      </c>
      <c r="G99" s="25" t="n">
        <v>1.04947E8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50.0</v>
      </c>
      <c r="F102" s="22" t="n">
        <f>0</f>
        <v>0.0</v>
      </c>
      <c r="G102" s="21" t="n">
        <v>9.322E7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50.0</v>
      </c>
      <c r="F103" s="26" t="n">
        <f>0</f>
        <v>0.0</v>
      </c>
      <c r="G103" s="25" t="n">
        <v>9.322E7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7034.0</v>
      </c>
      <c r="F108" s="18" t="n">
        <f>469</f>
        <v>469.0</v>
      </c>
      <c r="G108" s="17" t="n">
        <v>9.1454341E11</v>
      </c>
      <c r="H108" s="18" t="n">
        <f>60963370000</f>
        <v>6.096337E10</v>
      </c>
    </row>
    <row r="109" spans="1:8" ht="24.9" customHeight="1">
      <c r="A109" s="51"/>
      <c r="B109" s="57"/>
      <c r="C109" s="39"/>
      <c r="D109" s="20" t="s">
        <v>16</v>
      </c>
      <c r="E109" s="21" t="n">
        <v>13985.0</v>
      </c>
      <c r="F109" s="22" t="n">
        <f>367</f>
        <v>367.0</v>
      </c>
      <c r="G109" s="21" t="n">
        <v>1.81591258E12</v>
      </c>
      <c r="H109" s="22" t="n">
        <f>47662140000</f>
        <v>4.766214E10</v>
      </c>
    </row>
    <row r="110" spans="1:8" ht="24.9" customHeight="1">
      <c r="A110" s="51"/>
      <c r="B110" s="57"/>
      <c r="C110" s="39"/>
      <c r="D110" s="20" t="s">
        <v>17</v>
      </c>
      <c r="E110" s="21" t="n">
        <v>9751.0</v>
      </c>
      <c r="F110" s="22" t="n">
        <f>1873</f>
        <v>1873.0</v>
      </c>
      <c r="G110" s="21" t="n">
        <v>1.26509517E12</v>
      </c>
      <c r="H110" s="22" t="n">
        <f>243006980000</f>
        <v>2.4300698E11</v>
      </c>
    </row>
    <row r="111" spans="1:8" ht="24.9" customHeight="1">
      <c r="A111" s="51"/>
      <c r="B111" s="57"/>
      <c r="C111" s="39"/>
      <c r="D111" s="24" t="s">
        <v>18</v>
      </c>
      <c r="E111" s="25" t="n">
        <v>30770.0</v>
      </c>
      <c r="F111" s="26" t="n">
        <f>2709</f>
        <v>2709.0</v>
      </c>
      <c r="G111" s="25" t="n">
        <v>3.99555116E12</v>
      </c>
      <c r="H111" s="26" t="n">
        <f>351632490000</f>
        <v>3.5163249E11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280.0</v>
      </c>
      <c r="F113" s="22" t="n">
        <f>0</f>
        <v>0.0</v>
      </c>
      <c r="G113" s="21" t="n">
        <v>3.635565E9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152.0</v>
      </c>
      <c r="F114" s="22" t="n">
        <f>0</f>
        <v>0.0</v>
      </c>
      <c r="G114" s="21" t="n">
        <v>1.972087E9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432.0</v>
      </c>
      <c r="F115" s="26" t="n">
        <f>0</f>
        <v>0.0</v>
      </c>
      <c r="G115" s="25" t="n">
        <v>5.607652E9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480.0</v>
      </c>
      <c r="F117" s="22" t="n">
        <f>0</f>
        <v>0.0</v>
      </c>
      <c r="G117" s="21" t="n">
        <v>4.56288E9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251.0</v>
      </c>
      <c r="F118" s="22" t="n">
        <f>0</f>
        <v>0.0</v>
      </c>
      <c r="G118" s="21" t="n">
        <v>2.384962E9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731.0</v>
      </c>
      <c r="F119" s="26" t="n">
        <f>0</f>
        <v>0.0</v>
      </c>
      <c r="G119" s="25" t="n">
        <v>6.947842E9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58.0</v>
      </c>
      <c r="F120" s="18" t="n">
        <f>0</f>
        <v>0.0</v>
      </c>
      <c r="G120" s="17" t="n">
        <v>1.435644375E9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113.0</v>
      </c>
      <c r="F121" s="22" t="n">
        <f>0</f>
        <v>0.0</v>
      </c>
      <c r="G121" s="21" t="n">
        <v>2.804126875E9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10.0</v>
      </c>
      <c r="F122" s="22" t="n">
        <f>0</f>
        <v>0.0</v>
      </c>
      <c r="G122" s="21" t="n">
        <v>2.47044375E8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181.0</v>
      </c>
      <c r="F123" s="26" t="n">
        <f>0</f>
        <v>0.0</v>
      </c>
      <c r="G123" s="25" t="n">
        <v>4.486815625E9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4636.0</v>
      </c>
      <c r="F124" s="18" t="n">
        <f>0</f>
        <v>0.0</v>
      </c>
      <c r="G124" s="17" t="n">
        <v>1.15018195E11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2735.0</v>
      </c>
      <c r="F125" s="22" t="n">
        <f>0</f>
        <v>0.0</v>
      </c>
      <c r="G125" s="21" t="n">
        <v>6.7728634E10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2115.0</v>
      </c>
      <c r="F126" s="22" t="n">
        <f>1</f>
        <v>1.0</v>
      </c>
      <c r="G126" s="21" t="n">
        <v>5.265221E10</v>
      </c>
      <c r="H126" s="22" t="n">
        <f>24067000</f>
        <v>2.4067E7</v>
      </c>
    </row>
    <row r="127" spans="1:8" ht="24.9" customHeight="1">
      <c r="A127" s="51"/>
      <c r="B127" s="57"/>
      <c r="C127" s="39"/>
      <c r="D127" s="24" t="s">
        <v>18</v>
      </c>
      <c r="E127" s="25" t="n">
        <v>9486.0</v>
      </c>
      <c r="F127" s="26" t="n">
        <f>1</f>
        <v>1.0</v>
      </c>
      <c r="G127" s="25" t="n">
        <v>2.35399039E11</v>
      </c>
      <c r="H127" s="26" t="n">
        <f>24067000</f>
        <v>2.4067E7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213.0</v>
      </c>
      <c r="F128" s="18" t="n">
        <f>0</f>
        <v>0.0</v>
      </c>
      <c r="G128" s="17" t="n">
        <v>5.272786E8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209.0</v>
      </c>
      <c r="F129" s="22" t="n">
        <f>0</f>
        <v>0.0</v>
      </c>
      <c r="G129" s="21" t="n">
        <v>5.179586E8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166.0</v>
      </c>
      <c r="F130" s="22" t="n">
        <f>0</f>
        <v>0.0</v>
      </c>
      <c r="G130" s="21" t="n">
        <v>4.118457E8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588.0</v>
      </c>
      <c r="F131" s="26" t="n">
        <f>0</f>
        <v>0.0</v>
      </c>
      <c r="G131" s="25" t="n">
        <v>1.4570829E9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6743.0</v>
      </c>
      <c r="F132" s="18" t="n">
        <f>0</f>
        <v>0.0</v>
      </c>
      <c r="G132" s="17" t="n">
        <v>1.678337265E10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1611.0</v>
      </c>
      <c r="F133" s="22" t="n">
        <f>0</f>
        <v>0.0</v>
      </c>
      <c r="G133" s="21" t="n">
        <v>3.99995E9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1757.0</v>
      </c>
      <c r="F134" s="22" t="n">
        <f>0</f>
        <v>0.0</v>
      </c>
      <c r="G134" s="21" t="n">
        <v>4.38482415E9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10111.0</v>
      </c>
      <c r="F135" s="26" t="n">
        <f>0</f>
        <v>0.0</v>
      </c>
      <c r="G135" s="25" t="n">
        <v>2.51681468E10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71.0</v>
      </c>
      <c r="F136" s="18" t="n">
        <f>0</f>
        <v>0.0</v>
      </c>
      <c r="G136" s="17" t="n">
        <v>1.746803E8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52.0</v>
      </c>
      <c r="F137" s="22" t="n">
        <f>0</f>
        <v>0.0</v>
      </c>
      <c r="G137" s="21" t="n">
        <v>1.276809E8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70.0</v>
      </c>
      <c r="F138" s="22" t="n">
        <f>0</f>
        <v>0.0</v>
      </c>
      <c r="G138" s="21" t="n">
        <v>1.728602E8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193.0</v>
      </c>
      <c r="F139" s="26" t="n">
        <f>0</f>
        <v>0.0</v>
      </c>
      <c r="G139" s="25" t="n">
        <v>4.752214E8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1407.0</v>
      </c>
      <c r="F144" s="18" t="n">
        <f>0</f>
        <v>0.0</v>
      </c>
      <c r="G144" s="17" t="n">
        <v>7.1358435E9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1271.0</v>
      </c>
      <c r="F145" s="22" t="n">
        <f>0</f>
        <v>0.0</v>
      </c>
      <c r="G145" s="21" t="n">
        <v>6.445074E9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1041.0</v>
      </c>
      <c r="F146" s="22" t="n">
        <f>0</f>
        <v>0.0</v>
      </c>
      <c r="G146" s="21" t="n">
        <v>5.3254905E9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3719.0</v>
      </c>
      <c r="F147" s="26" t="n">
        <f>0</f>
        <v>0.0</v>
      </c>
      <c r="G147" s="25" t="n">
        <v>1.8906408E10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106.0</v>
      </c>
      <c r="F148" s="18" t="n">
        <f>0</f>
        <v>0.0</v>
      </c>
      <c r="G148" s="17" t="n">
        <v>1.077982E8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818.0</v>
      </c>
      <c r="F149" s="22" t="n">
        <f>0</f>
        <v>0.0</v>
      </c>
      <c r="G149" s="21" t="n">
        <v>8.407748E8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504.0</v>
      </c>
      <c r="F150" s="22" t="n">
        <f>0</f>
        <v>0.0</v>
      </c>
      <c r="G150" s="21" t="n">
        <v>5.228289E8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1428.0</v>
      </c>
      <c r="F151" s="26" t="n">
        <f>0</f>
        <v>0.0</v>
      </c>
      <c r="G151" s="25" t="n">
        <v>1.4714019E9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202.0</v>
      </c>
      <c r="F152" s="18" t="n">
        <f>0</f>
        <v>0.0</v>
      </c>
      <c r="G152" s="17" t="n">
        <v>2.0533645E8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125.0</v>
      </c>
      <c r="F153" s="22" t="n">
        <f>0</f>
        <v>0.0</v>
      </c>
      <c r="G153" s="21" t="n">
        <v>1.2700905E8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125.0</v>
      </c>
      <c r="F154" s="22" t="n">
        <f>0</f>
        <v>0.0</v>
      </c>
      <c r="G154" s="21" t="n">
        <v>1.281295E8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452.0</v>
      </c>
      <c r="F155" s="26" t="n">
        <f>0</f>
        <v>0.0</v>
      </c>
      <c r="G155" s="25" t="n">
        <v>4.60475E8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114.0</v>
      </c>
      <c r="F156" s="18" t="n">
        <f>0</f>
        <v>0.0</v>
      </c>
      <c r="G156" s="17" t="n">
        <v>1.134856E8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617.0</v>
      </c>
      <c r="F157" s="22" t="n">
        <f>0</f>
        <v>0.0</v>
      </c>
      <c r="G157" s="21" t="n">
        <v>6.149093E8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630.0</v>
      </c>
      <c r="F158" s="22" t="n">
        <f>0</f>
        <v>0.0</v>
      </c>
      <c r="G158" s="21" t="n">
        <v>6.343552E8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1361.0</v>
      </c>
      <c r="F159" s="26" t="n">
        <f>0</f>
        <v>0.0</v>
      </c>
      <c r="G159" s="25" t="n">
        <v>1.3627501E9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115.0</v>
      </c>
      <c r="F168" s="18" t="n">
        <f>0</f>
        <v>0.0</v>
      </c>
      <c r="G168" s="17" t="n">
        <v>2.29185E8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368.0</v>
      </c>
      <c r="F169" s="22" t="n">
        <f>2</f>
        <v>2.0</v>
      </c>
      <c r="G169" s="21" t="n">
        <v>7.3101E8</v>
      </c>
      <c r="H169" s="22" t="n">
        <f>3950000</f>
        <v>3950000.0</v>
      </c>
    </row>
    <row r="170" spans="1:8" ht="24.9" customHeight="1">
      <c r="A170" s="51"/>
      <c r="B170" s="57"/>
      <c r="C170" s="39"/>
      <c r="D170" s="20" t="s">
        <v>17</v>
      </c>
      <c r="E170" s="21" t="n">
        <v>62.0</v>
      </c>
      <c r="F170" s="22" t="n">
        <f>0</f>
        <v>0.0</v>
      </c>
      <c r="G170" s="21" t="n">
        <v>1.2368E8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545.0</v>
      </c>
      <c r="F171" s="26" t="n">
        <f>2</f>
        <v>2.0</v>
      </c>
      <c r="G171" s="25" t="n">
        <v>1.083875E9</v>
      </c>
      <c r="H171" s="26" t="n">
        <f>3950000</f>
        <v>3950000.0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31.0</v>
      </c>
      <c r="F176" s="18" t="n">
        <f>0</f>
        <v>0.0</v>
      </c>
      <c r="G176" s="17" t="n">
        <v>5.2953E7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28.0</v>
      </c>
      <c r="F177" s="22" t="n">
        <f>0</f>
        <v>0.0</v>
      </c>
      <c r="G177" s="21" t="n">
        <v>4.8192E7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90.0</v>
      </c>
      <c r="F178" s="22" t="n">
        <f>0</f>
        <v>0.0</v>
      </c>
      <c r="G178" s="21" t="n">
        <v>1.54922E8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149.0</v>
      </c>
      <c r="F179" s="26" t="n">
        <f>0</f>
        <v>0.0</v>
      </c>
      <c r="G179" s="25" t="n">
        <v>2.56067E8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1313.0</v>
      </c>
      <c r="F204" s="18" t="n">
        <f>28</f>
        <v>28.0</v>
      </c>
      <c r="G204" s="17" t="n">
        <v>5.7455945E9</v>
      </c>
      <c r="H204" s="18" t="n">
        <f>121530000</f>
        <v>1.2153E8</v>
      </c>
    </row>
    <row r="205" spans="1:8" ht="24.9" customHeight="1">
      <c r="A205" s="57"/>
      <c r="B205" s="59"/>
      <c r="C205" s="39"/>
      <c r="D205" s="20" t="s">
        <v>16</v>
      </c>
      <c r="E205" s="21" t="n">
        <v>298.0</v>
      </c>
      <c r="F205" s="22" t="n">
        <f>0</f>
        <v>0.0</v>
      </c>
      <c r="G205" s="21" t="n">
        <v>1.300213E9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1086.0</v>
      </c>
      <c r="F206" s="22" t="n">
        <f>0</f>
        <v>0.0</v>
      </c>
      <c r="G206" s="21" t="n">
        <v>4.7841995E9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2697.0</v>
      </c>
      <c r="F207" s="26" t="n">
        <f>28</f>
        <v>28.0</v>
      </c>
      <c r="G207" s="25" t="n">
        <v>1.1830007E10</v>
      </c>
      <c r="H207" s="26" t="n">
        <f>121530000</f>
        <v>1.2153E8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44.0</v>
      </c>
      <c r="F210" s="22" t="n">
        <f>44</f>
        <v>44.0</v>
      </c>
      <c r="G210" s="21" t="n">
        <v>6.14256E7</v>
      </c>
      <c r="H210" s="22" t="n">
        <f>61425600</f>
        <v>6.14256E7</v>
      </c>
    </row>
    <row r="211" spans="1:8" ht="24.9" customHeight="1">
      <c r="A211" s="57"/>
      <c r="B211" s="59"/>
      <c r="C211" s="39"/>
      <c r="D211" s="24" t="s">
        <v>18</v>
      </c>
      <c r="E211" s="25" t="n">
        <v>44.0</v>
      </c>
      <c r="F211" s="26" t="n">
        <f>44</f>
        <v>44.0</v>
      </c>
      <c r="G211" s="25" t="n">
        <v>6.14256E7</v>
      </c>
      <c r="H211" s="26" t="n">
        <f>61425600</f>
        <v>6.14256E7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66.0</v>
      </c>
      <c r="F214" s="22" t="n">
        <f>66</f>
        <v>66.0</v>
      </c>
      <c r="G214" s="21" t="n">
        <v>7.5978E7</v>
      </c>
      <c r="H214" s="22" t="n">
        <f>75978000</f>
        <v>7.5978E7</v>
      </c>
    </row>
    <row r="215" spans="1:8" ht="24.9" customHeight="1">
      <c r="A215" s="57"/>
      <c r="B215" s="59"/>
      <c r="C215" s="39"/>
      <c r="D215" s="24" t="s">
        <v>18</v>
      </c>
      <c r="E215" s="25" t="n">
        <v>66.0</v>
      </c>
      <c r="F215" s="26" t="n">
        <f>66</f>
        <v>66.0</v>
      </c>
      <c r="G215" s="25" t="n">
        <v>7.5978E7</v>
      </c>
      <c r="H215" s="26" t="n">
        <f>75978000</f>
        <v>7.5978E7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46139.0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46139.0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3008</f>
        <v>3008.0</v>
      </c>
      <c r="E12" s="35" t="n">
        <f>714</f>
        <v>714.0</v>
      </c>
      <c r="F12" s="17" t="n">
        <f>1956</f>
        <v>1956.0</v>
      </c>
      <c r="G12" s="35" t="n">
        <f>593</f>
        <v>593.0</v>
      </c>
      <c r="H12" s="17" t="n">
        <f>4964</f>
        <v>4964.0</v>
      </c>
      <c r="I12" s="35" t="n">
        <f>1307</f>
        <v>1307.0</v>
      </c>
      <c r="J12" s="17" t="n">
        <f>501259200</f>
        <v>5.012592E8</v>
      </c>
      <c r="K12" s="35" t="n">
        <f>139165200</f>
        <v>1.391652E8</v>
      </c>
      <c r="L12" s="17" t="n">
        <f>1481464510</f>
        <v>1.48146451E9</v>
      </c>
      <c r="M12" s="35" t="n">
        <f>1051403510</f>
        <v>1.05140351E9</v>
      </c>
      <c r="N12" s="17" t="n">
        <f>1982723710</f>
        <v>1.98272371E9</v>
      </c>
      <c r="O12" s="35" t="n">
        <f>1190568710</f>
        <v>1.19056871E9</v>
      </c>
    </row>
    <row r="13" spans="1:15" ht="24.9" customHeight="1">
      <c r="A13" s="38"/>
      <c r="B13" s="62"/>
      <c r="C13" s="20" t="s">
        <v>16</v>
      </c>
      <c r="D13" s="21" t="n">
        <f>9632</f>
        <v>9632.0</v>
      </c>
      <c r="E13" s="36" t="n">
        <f>4794</f>
        <v>4794.0</v>
      </c>
      <c r="F13" s="21" t="n">
        <f>4645</f>
        <v>4645.0</v>
      </c>
      <c r="G13" s="36" t="n">
        <f>2056</f>
        <v>2056.0</v>
      </c>
      <c r="H13" s="21" t="n">
        <f>14277</f>
        <v>14277.0</v>
      </c>
      <c r="I13" s="36" t="n">
        <f>6850</f>
        <v>6850.0</v>
      </c>
      <c r="J13" s="21" t="n">
        <f>3558015350</f>
        <v>3.55801535E9</v>
      </c>
      <c r="K13" s="36" t="n">
        <f>1878542350</f>
        <v>1.87854235E9</v>
      </c>
      <c r="L13" s="21" t="n">
        <f>1855661640</f>
        <v>1.85566164E9</v>
      </c>
      <c r="M13" s="36" t="n">
        <f>840733640</f>
        <v>8.4073364E8</v>
      </c>
      <c r="N13" s="21" t="n">
        <f>5413676990</f>
        <v>5.41367699E9</v>
      </c>
      <c r="O13" s="36" t="n">
        <f>2719275990</f>
        <v>2.71927599E9</v>
      </c>
    </row>
    <row r="14" spans="1:15" ht="24.9" customHeight="1">
      <c r="A14" s="38"/>
      <c r="B14" s="62"/>
      <c r="C14" s="20" t="s">
        <v>17</v>
      </c>
      <c r="D14" s="21" t="n">
        <f>14826</f>
        <v>14826.0</v>
      </c>
      <c r="E14" s="36" t="n">
        <f>11015</f>
        <v>11015.0</v>
      </c>
      <c r="F14" s="21" t="n">
        <f>7125</f>
        <v>7125.0</v>
      </c>
      <c r="G14" s="36" t="n">
        <f>4137</f>
        <v>4137.0</v>
      </c>
      <c r="H14" s="21" t="n">
        <f>21951</f>
        <v>21951.0</v>
      </c>
      <c r="I14" s="36" t="n">
        <f>15152</f>
        <v>15152.0</v>
      </c>
      <c r="J14" s="21" t="n">
        <f>12969539405</f>
        <v>1.2969539405E10</v>
      </c>
      <c r="K14" s="36" t="n">
        <f>12039702405</f>
        <v>1.2039702405E10</v>
      </c>
      <c r="L14" s="21" t="n">
        <f>7498471470</f>
        <v>7.49847147E9</v>
      </c>
      <c r="M14" s="36" t="n">
        <f>6258241470</f>
        <v>6.25824147E9</v>
      </c>
      <c r="N14" s="21" t="n">
        <f>20468010875</f>
        <v>2.0468010875E10</v>
      </c>
      <c r="O14" s="36" t="n">
        <f>18297943875</f>
        <v>1.8297943875E10</v>
      </c>
    </row>
    <row r="15" spans="1:15" ht="24.9" customHeight="1">
      <c r="A15" s="38"/>
      <c r="B15" s="62"/>
      <c r="C15" s="24" t="s">
        <v>18</v>
      </c>
      <c r="D15" s="25" t="n">
        <f>27466</f>
        <v>27466.0</v>
      </c>
      <c r="E15" s="37" t="n">
        <f>16523</f>
        <v>16523.0</v>
      </c>
      <c r="F15" s="25" t="n">
        <f>13726</f>
        <v>13726.0</v>
      </c>
      <c r="G15" s="37" t="n">
        <f>6786</f>
        <v>6786.0</v>
      </c>
      <c r="H15" s="25" t="n">
        <f>41192</f>
        <v>41192.0</v>
      </c>
      <c r="I15" s="37" t="n">
        <f>23309</f>
        <v>23309.0</v>
      </c>
      <c r="J15" s="25" t="n">
        <f>17028813955</f>
        <v>1.7028813955E10</v>
      </c>
      <c r="K15" s="37" t="n">
        <f>14057409955</f>
        <v>1.4057409955E10</v>
      </c>
      <c r="L15" s="25" t="n">
        <f>10835597620</f>
        <v>1.083559762E10</v>
      </c>
      <c r="M15" s="37" t="n">
        <f>8150378620</f>
        <v>8.15037862E9</v>
      </c>
      <c r="N15" s="25" t="n">
        <f>27864411575</f>
        <v>2.7864411575E10</v>
      </c>
      <c r="O15" s="37" t="n">
        <f>22207788575</f>
        <v>2.2207788575E10</v>
      </c>
    </row>
    <row r="16" spans="1:15" ht="24.9" customHeight="1">
      <c r="A16" s="38"/>
      <c r="B16" s="61" t="s">
        <v>105</v>
      </c>
      <c r="C16" s="16" t="s">
        <v>15</v>
      </c>
      <c r="D16" s="17" t="n">
        <f>8039</f>
        <v>8039.0</v>
      </c>
      <c r="E16" s="35" t="n">
        <f>560</f>
        <v>560.0</v>
      </c>
      <c r="F16" s="17" t="n">
        <f>5207</f>
        <v>5207.0</v>
      </c>
      <c r="G16" s="35" t="n">
        <f>100</f>
        <v>100.0</v>
      </c>
      <c r="H16" s="17" t="n">
        <f>13246</f>
        <v>13246.0</v>
      </c>
      <c r="I16" s="35" t="n">
        <f>660</f>
        <v>660.0</v>
      </c>
      <c r="J16" s="17" t="n">
        <f>207000960</f>
        <v>2.0700096E8</v>
      </c>
      <c r="K16" s="35" t="n">
        <f>6170460</f>
        <v>6170460.0</v>
      </c>
      <c r="L16" s="17" t="n">
        <f>275372140</f>
        <v>2.7537214E8</v>
      </c>
      <c r="M16" s="35" t="n">
        <f>1993440</f>
        <v>1993440.0</v>
      </c>
      <c r="N16" s="17" t="n">
        <f>482373100</f>
        <v>4.823731E8</v>
      </c>
      <c r="O16" s="35" t="n">
        <f>8163900</f>
        <v>8163900.0</v>
      </c>
    </row>
    <row r="17" spans="1:15" ht="24.9" customHeight="1">
      <c r="A17" s="38"/>
      <c r="B17" s="62"/>
      <c r="C17" s="20" t="s">
        <v>16</v>
      </c>
      <c r="D17" s="21" t="n">
        <f>14635</f>
        <v>14635.0</v>
      </c>
      <c r="E17" s="36" t="n">
        <f>1340</f>
        <v>1340.0</v>
      </c>
      <c r="F17" s="21" t="n">
        <f>4895</f>
        <v>4895.0</v>
      </c>
      <c r="G17" s="36" t="n">
        <f>130</f>
        <v>130.0</v>
      </c>
      <c r="H17" s="21" t="n">
        <f>19530</f>
        <v>19530.0</v>
      </c>
      <c r="I17" s="36" t="n">
        <f>1470</f>
        <v>1470.0</v>
      </c>
      <c r="J17" s="21" t="n">
        <f>298958260</f>
        <v>2.9895826E8</v>
      </c>
      <c r="K17" s="36" t="n">
        <f>12444760</f>
        <v>1.244476E7</v>
      </c>
      <c r="L17" s="21" t="n">
        <f>777933610</f>
        <v>7.7793361E8</v>
      </c>
      <c r="M17" s="36" t="n">
        <f>32674910</f>
        <v>3.267491E7</v>
      </c>
      <c r="N17" s="21" t="n">
        <f>1076891870</f>
        <v>1.07689187E9</v>
      </c>
      <c r="O17" s="36" t="n">
        <f>45119670</f>
        <v>4.511967E7</v>
      </c>
    </row>
    <row r="18" spans="1:15" ht="24.9" customHeight="1">
      <c r="A18" s="38"/>
      <c r="B18" s="62"/>
      <c r="C18" s="20" t="s">
        <v>17</v>
      </c>
      <c r="D18" s="21" t="n">
        <f>18263</f>
        <v>18263.0</v>
      </c>
      <c r="E18" s="36" t="n">
        <f>830</f>
        <v>830.0</v>
      </c>
      <c r="F18" s="21" t="n">
        <f>7332</f>
        <v>7332.0</v>
      </c>
      <c r="G18" s="36" t="n">
        <f>460</f>
        <v>460.0</v>
      </c>
      <c r="H18" s="21" t="n">
        <f>25595</f>
        <v>25595.0</v>
      </c>
      <c r="I18" s="36" t="n">
        <f>1290</f>
        <v>1290.0</v>
      </c>
      <c r="J18" s="21" t="n">
        <f>367404730</f>
        <v>3.6740473E8</v>
      </c>
      <c r="K18" s="36" t="n">
        <f>20832930</f>
        <v>2.083293E7</v>
      </c>
      <c r="L18" s="21" t="n">
        <f>1139860140</f>
        <v>1.13986014E9</v>
      </c>
      <c r="M18" s="36" t="n">
        <f>13571740</f>
        <v>1.357174E7</v>
      </c>
      <c r="N18" s="21" t="n">
        <f>1507264870</f>
        <v>1.50726487E9</v>
      </c>
      <c r="O18" s="36" t="n">
        <f>34404670</f>
        <v>3.440467E7</v>
      </c>
    </row>
    <row r="19" spans="1:15" ht="24.9" customHeight="1">
      <c r="A19" s="38"/>
      <c r="B19" s="62"/>
      <c r="C19" s="24" t="s">
        <v>18</v>
      </c>
      <c r="D19" s="25" t="n">
        <f>40937</f>
        <v>40937.0</v>
      </c>
      <c r="E19" s="37" t="n">
        <f>2730</f>
        <v>2730.0</v>
      </c>
      <c r="F19" s="25" t="n">
        <f>17434</f>
        <v>17434.0</v>
      </c>
      <c r="G19" s="37" t="n">
        <f>690</f>
        <v>690.0</v>
      </c>
      <c r="H19" s="25" t="n">
        <f>58371</f>
        <v>58371.0</v>
      </c>
      <c r="I19" s="37" t="n">
        <f>3420</f>
        <v>3420.0</v>
      </c>
      <c r="J19" s="25" t="n">
        <f>873363950</f>
        <v>8.7336395E8</v>
      </c>
      <c r="K19" s="37" t="n">
        <f>39448150</f>
        <v>3.944815E7</v>
      </c>
      <c r="L19" s="25" t="n">
        <f>2193165890</f>
        <v>2.19316589E9</v>
      </c>
      <c r="M19" s="37" t="n">
        <f>48240090</f>
        <v>4.824009E7</v>
      </c>
      <c r="N19" s="25" t="n">
        <f>3066529840</f>
        <v>3.06652984E9</v>
      </c>
      <c r="O19" s="37" t="n">
        <f>87688240</f>
        <v>8.768824E7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10</f>
        <v>10.0</v>
      </c>
      <c r="G21" s="36" t="n">
        <f>0</f>
        <v>0.0</v>
      </c>
      <c r="H21" s="21" t="n">
        <f>10</f>
        <v>10.0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1421000</f>
        <v>1421000.0</v>
      </c>
      <c r="M21" s="36" t="n">
        <f>0</f>
        <v>0.0</v>
      </c>
      <c r="N21" s="21" t="n">
        <f>1421000</f>
        <v>1421000.0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240</f>
        <v>240.0</v>
      </c>
      <c r="E22" s="36" t="n">
        <f>200</f>
        <v>200.0</v>
      </c>
      <c r="F22" s="21" t="n">
        <f>200</f>
        <v>200.0</v>
      </c>
      <c r="G22" s="36" t="n">
        <f>200</f>
        <v>200.0</v>
      </c>
      <c r="H22" s="21" t="n">
        <f>440</f>
        <v>440.0</v>
      </c>
      <c r="I22" s="36" t="n">
        <f>400</f>
        <v>400.0</v>
      </c>
      <c r="J22" s="21" t="n">
        <f>92900000</f>
        <v>9.29E7</v>
      </c>
      <c r="K22" s="36" t="n">
        <f>40000000</f>
        <v>4.0E7</v>
      </c>
      <c r="L22" s="21" t="n">
        <f>5096000</f>
        <v>5096000.0</v>
      </c>
      <c r="M22" s="36" t="n">
        <f>5096000</f>
        <v>5096000.0</v>
      </c>
      <c r="N22" s="21" t="n">
        <f>97996000</f>
        <v>9.7996E7</v>
      </c>
      <c r="O22" s="36" t="n">
        <f>45096000</f>
        <v>4.5096E7</v>
      </c>
    </row>
    <row r="23" spans="1:15" ht="24.9" customHeight="1">
      <c r="A23" s="38"/>
      <c r="B23" s="62"/>
      <c r="C23" s="24" t="s">
        <v>18</v>
      </c>
      <c r="D23" s="25" t="n">
        <f>240</f>
        <v>240.0</v>
      </c>
      <c r="E23" s="37" t="n">
        <f>200</f>
        <v>200.0</v>
      </c>
      <c r="F23" s="25" t="n">
        <f>210</f>
        <v>210.0</v>
      </c>
      <c r="G23" s="37" t="n">
        <f>200</f>
        <v>200.0</v>
      </c>
      <c r="H23" s="25" t="n">
        <f>450</f>
        <v>450.0</v>
      </c>
      <c r="I23" s="37" t="n">
        <f>400</f>
        <v>400.0</v>
      </c>
      <c r="J23" s="25" t="n">
        <f>92900000</f>
        <v>9.29E7</v>
      </c>
      <c r="K23" s="37" t="n">
        <f>40000000</f>
        <v>4.0E7</v>
      </c>
      <c r="L23" s="25" t="n">
        <f>6517000</f>
        <v>6517000.0</v>
      </c>
      <c r="M23" s="37" t="n">
        <f>5096000</f>
        <v>5096000.0</v>
      </c>
      <c r="N23" s="25" t="n">
        <f>99417000</f>
        <v>9.9417E7</v>
      </c>
      <c r="O23" s="37" t="n">
        <f>45096000</f>
        <v>4.5096E7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92</f>
        <v>92.0</v>
      </c>
      <c r="E37" s="22" t="n">
        <f>50</f>
        <v>50.0</v>
      </c>
      <c r="F37" s="21" t="n">
        <f>23</f>
        <v>23.0</v>
      </c>
      <c r="G37" s="22" t="n">
        <f>0</f>
        <v>0.0</v>
      </c>
      <c r="H37" s="21" t="n">
        <f>115</f>
        <v>115.0</v>
      </c>
      <c r="I37" s="22" t="n">
        <f>50</f>
        <v>50.0</v>
      </c>
      <c r="J37" s="21" t="n">
        <f>15040000</f>
        <v>1.504E7</v>
      </c>
      <c r="K37" s="22" t="n">
        <f>1500000</f>
        <v>1500000.0</v>
      </c>
      <c r="L37" s="21" t="n">
        <f>1440000</f>
        <v>1440000.0</v>
      </c>
      <c r="M37" s="22" t="n">
        <f>0</f>
        <v>0.0</v>
      </c>
      <c r="N37" s="21" t="n">
        <f>16480000</f>
        <v>1.648E7</v>
      </c>
      <c r="O37" s="22" t="n">
        <f>1500000</f>
        <v>1500000.0</v>
      </c>
    </row>
    <row r="38" spans="1:15" ht="24.9" customHeight="1">
      <c r="A38" s="38"/>
      <c r="B38" s="62"/>
      <c r="C38" s="20" t="s">
        <v>17</v>
      </c>
      <c r="D38" s="21" t="n">
        <f>0</f>
        <v>0.0</v>
      </c>
      <c r="E38" s="36" t="n">
        <f>0</f>
        <v>0.0</v>
      </c>
      <c r="F38" s="21" t="n">
        <f>27</f>
        <v>27.0</v>
      </c>
      <c r="G38" s="36" t="n">
        <f>0</f>
        <v>0.0</v>
      </c>
      <c r="H38" s="21" t="n">
        <f>27</f>
        <v>27.0</v>
      </c>
      <c r="I38" s="36" t="n">
        <f>0</f>
        <v>0.0</v>
      </c>
      <c r="J38" s="21" t="n">
        <f>0</f>
        <v>0.0</v>
      </c>
      <c r="K38" s="36" t="n">
        <f>0</f>
        <v>0.0</v>
      </c>
      <c r="L38" s="21" t="n">
        <f>4300000</f>
        <v>4300000.0</v>
      </c>
      <c r="M38" s="36" t="n">
        <f>0</f>
        <v>0.0</v>
      </c>
      <c r="N38" s="21" t="n">
        <f>4300000</f>
        <v>4300000.0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92</f>
        <v>92.0</v>
      </c>
      <c r="E39" s="37" t="n">
        <f>50</f>
        <v>50.0</v>
      </c>
      <c r="F39" s="25" t="n">
        <f>50</f>
        <v>50.0</v>
      </c>
      <c r="G39" s="37" t="n">
        <f>0</f>
        <v>0.0</v>
      </c>
      <c r="H39" s="25" t="n">
        <f>142</f>
        <v>142.0</v>
      </c>
      <c r="I39" s="37" t="n">
        <f>50</f>
        <v>50.0</v>
      </c>
      <c r="J39" s="25" t="n">
        <f>15040000</f>
        <v>1.504E7</v>
      </c>
      <c r="K39" s="37" t="n">
        <f>1500000</f>
        <v>1500000.0</v>
      </c>
      <c r="L39" s="25" t="n">
        <f>5740000</f>
        <v>5740000.0</v>
      </c>
      <c r="M39" s="37" t="n">
        <f>0</f>
        <v>0.0</v>
      </c>
      <c r="N39" s="25" t="n">
        <f>20780000</f>
        <v>2.078E7</v>
      </c>
      <c r="O39" s="37" t="n">
        <f>1500000</f>
        <v>1500000.0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744</f>
        <v>744.0</v>
      </c>
      <c r="E41" s="36" t="n">
        <f>0</f>
        <v>0.0</v>
      </c>
      <c r="F41" s="21" t="n">
        <f>2753</f>
        <v>2753.0</v>
      </c>
      <c r="G41" s="36" t="n">
        <f>400</f>
        <v>400.0</v>
      </c>
      <c r="H41" s="21" t="n">
        <f>3497</f>
        <v>3497.0</v>
      </c>
      <c r="I41" s="36" t="n">
        <f>400</f>
        <v>400.0</v>
      </c>
      <c r="J41" s="21" t="n">
        <f>7802087</f>
        <v>7802087.0</v>
      </c>
      <c r="K41" s="36" t="n">
        <f>0</f>
        <v>0.0</v>
      </c>
      <c r="L41" s="21" t="n">
        <f>15394775</f>
        <v>1.5394775E7</v>
      </c>
      <c r="M41" s="36" t="n">
        <f>1280000</f>
        <v>1280000.0</v>
      </c>
      <c r="N41" s="21" t="n">
        <f>23196862</f>
        <v>2.3196862E7</v>
      </c>
      <c r="O41" s="36" t="n">
        <f>1280000</f>
        <v>1280000.0</v>
      </c>
    </row>
    <row r="42" spans="1:15" ht="24.9" customHeight="1">
      <c r="A42" s="38"/>
      <c r="B42" s="62"/>
      <c r="C42" s="20" t="s">
        <v>17</v>
      </c>
      <c r="D42" s="21" t="n">
        <f>907</f>
        <v>907.0</v>
      </c>
      <c r="E42" s="36" t="n">
        <f>50</f>
        <v>50.0</v>
      </c>
      <c r="F42" s="21" t="n">
        <f>4662</f>
        <v>4662.0</v>
      </c>
      <c r="G42" s="36" t="n">
        <f>0</f>
        <v>0.0</v>
      </c>
      <c r="H42" s="21" t="n">
        <f>5569</f>
        <v>5569.0</v>
      </c>
      <c r="I42" s="36" t="n">
        <f>50</f>
        <v>50.0</v>
      </c>
      <c r="J42" s="21" t="n">
        <f>28487715</f>
        <v>2.8487715E7</v>
      </c>
      <c r="K42" s="36" t="n">
        <f>17900000</f>
        <v>1.79E7</v>
      </c>
      <c r="L42" s="21" t="n">
        <f>22292284</f>
        <v>2.2292284E7</v>
      </c>
      <c r="M42" s="36" t="n">
        <f>0</f>
        <v>0.0</v>
      </c>
      <c r="N42" s="21" t="n">
        <f>50779999</f>
        <v>5.0779999E7</v>
      </c>
      <c r="O42" s="36" t="n">
        <f>17900000</f>
        <v>1.79E7</v>
      </c>
    </row>
    <row r="43" spans="1:15" ht="24.9" customHeight="1">
      <c r="A43" s="38"/>
      <c r="B43" s="62"/>
      <c r="C43" s="24" t="s">
        <v>18</v>
      </c>
      <c r="D43" s="25" t="n">
        <f>1651</f>
        <v>1651.0</v>
      </c>
      <c r="E43" s="37" t="n">
        <f>50</f>
        <v>50.0</v>
      </c>
      <c r="F43" s="25" t="n">
        <f>7415</f>
        <v>7415.0</v>
      </c>
      <c r="G43" s="37" t="n">
        <f>400</f>
        <v>400.0</v>
      </c>
      <c r="H43" s="25" t="n">
        <f>9066</f>
        <v>9066.0</v>
      </c>
      <c r="I43" s="37" t="n">
        <f>450</f>
        <v>450.0</v>
      </c>
      <c r="J43" s="25" t="n">
        <f>36289802</f>
        <v>3.6289802E7</v>
      </c>
      <c r="K43" s="37" t="n">
        <f>17900000</f>
        <v>1.79E7</v>
      </c>
      <c r="L43" s="25" t="n">
        <f>37687059</f>
        <v>3.7687059E7</v>
      </c>
      <c r="M43" s="37" t="n">
        <f>1280000</f>
        <v>1280000.0</v>
      </c>
      <c r="N43" s="25" t="n">
        <f>73976861</f>
        <v>7.3976861E7</v>
      </c>
      <c r="O43" s="37" t="n">
        <f>19180000</f>
        <v>1.918E7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