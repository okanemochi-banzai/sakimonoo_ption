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<sst xmlns="http://schemas.openxmlformats.org/spreadsheetml/2006/main" count="528" uniqueCount="129">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</sst>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DATE(2026,10,06)</f>
        <v>46301.0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DATE(2026,10,06)</f>
        <v>46301.0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624064.0</f>
        <v>624064.0</v>
      </c>
      <c r="E12" s="18" t="n">
        <f>26347.0</f>
        <v>26347.0</v>
      </c>
      <c r="F12" s="19" t="n">
        <f>1.0</f>
        <v>1.0</v>
      </c>
      <c r="G12" s="17" t="n">
        <f>4740103913685.0</f>
        <v>4.740103913685E12</v>
      </c>
      <c r="H12" s="18" t="n">
        <f>283849187260.0</f>
        <v>2.8384918726E11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406443.0</f>
        <v>406443.0</v>
      </c>
      <c r="E13" s="22" t="n">
        <f>29052.0</f>
        <v>29052.0</v>
      </c>
      <c r="F13" s="23" t="n">
        <f>1.0</f>
        <v>1.0</v>
      </c>
      <c r="G13" s="21" t="n">
        <f>4895317464815.0</f>
        <v>4.895317464815E12</v>
      </c>
      <c r="H13" s="22" t="n">
        <f>456026282590.0</f>
        <v>4.5602628259E11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416121.0</f>
        <v>416121.0</v>
      </c>
      <c r="E14" s="22" t="n">
        <f>48207.0</f>
        <v>48207.0</v>
      </c>
      <c r="F14" s="23" t="n">
        <f>1.0</f>
        <v>1.0</v>
      </c>
      <c r="G14" s="21" t="n">
        <f>6163684766856.0</f>
        <v>6.163684766856E12</v>
      </c>
      <c r="H14" s="22" t="n">
        <f>1169478920156.0</f>
        <v>1.169478920156E12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1446628.0</f>
        <v>1446628.0</v>
      </c>
      <c r="E15" s="26" t="n">
        <f>103606.0</f>
        <v>103606.0</v>
      </c>
      <c r="F15" s="27" t="n">
        <f>1.0</f>
        <v>1.0</v>
      </c>
      <c r="G15" s="25" t="n">
        <f>15799106145356.0</f>
        <v>1.5799106145356E13</v>
      </c>
      <c r="H15" s="26" t="n">
        <f>1909354390006.0</f>
        <v>1.909354390006E12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12166.0</f>
        <v>12166.0</v>
      </c>
      <c r="E16" s="18" t="n">
        <f>361.0</f>
        <v>361.0</v>
      </c>
      <c r="F16" s="19" t="n">
        <f>0.019</f>
        <v>0.019</v>
      </c>
      <c r="G16" s="17" t="n">
        <f>1442778719375.0</f>
        <v>1.442778719375E12</v>
      </c>
      <c r="H16" s="18" t="n">
        <f>44930390000.0</f>
        <v>4.493039E10</v>
      </c>
      <c r="I16" s="19" t="n">
        <f>0.304</f>
        <v>0.304</v>
      </c>
    </row>
    <row r="17" spans="1:9" ht="24.9" customHeight="1">
      <c r="A17" s="41"/>
      <c r="B17" s="39"/>
      <c r="C17" s="20" t="s">
        <v>16</v>
      </c>
      <c r="D17" s="21" t="n">
        <f>19892.0</f>
        <v>19892.0</v>
      </c>
      <c r="E17" s="22" t="n">
        <f>713.0</f>
        <v>713.0</v>
      </c>
      <c r="F17" s="23" t="n">
        <f>0.049</f>
        <v>0.049</v>
      </c>
      <c r="G17" s="21" t="n">
        <f>2138942458125.0</f>
        <v>2.138942458125E12</v>
      </c>
      <c r="H17" s="22" t="n">
        <f>88621550000.0</f>
        <v>8.862155E10</v>
      </c>
      <c r="I17" s="23" t="n">
        <f>0.437</f>
        <v>0.437</v>
      </c>
    </row>
    <row r="18" spans="1:9" ht="24.9" customHeight="1">
      <c r="A18" s="41"/>
      <c r="B18" s="39"/>
      <c r="C18" s="20" t="s">
        <v>17</v>
      </c>
      <c r="D18" s="21" t="n">
        <f>21343.0</f>
        <v>21343.0</v>
      </c>
      <c r="E18" s="22" t="n">
        <f>1125.0</f>
        <v>1125.0</v>
      </c>
      <c r="F18" s="23" t="n">
        <f>0.051</f>
        <v>0.051</v>
      </c>
      <c r="G18" s="21" t="n">
        <f>2167451806000.0</f>
        <v>2.167451806E12</v>
      </c>
      <c r="H18" s="22" t="n">
        <f>139830565000.0</f>
        <v>1.39830565E11</v>
      </c>
      <c r="I18" s="23" t="n">
        <f>0.352</f>
        <v>0.352</v>
      </c>
    </row>
    <row r="19" spans="1:9" ht="24.9" customHeight="1">
      <c r="A19" s="41"/>
      <c r="B19" s="39"/>
      <c r="C19" s="24" t="s">
        <v>18</v>
      </c>
      <c r="D19" s="25" t="n">
        <f>53401.0</f>
        <v>53401.0</v>
      </c>
      <c r="E19" s="26" t="n">
        <f>2199.0</f>
        <v>2199.0</v>
      </c>
      <c r="F19" s="27" t="n">
        <f>0.037</f>
        <v>0.037</v>
      </c>
      <c r="G19" s="25" t="n">
        <f>5749172983500.0</f>
        <v>5.7491729835E12</v>
      </c>
      <c r="H19" s="26" t="n">
        <f>273382505000.0</f>
        <v>2.73382505E11</v>
      </c>
      <c r="I19" s="27" t="n">
        <f>0.364</f>
        <v>0.364</v>
      </c>
    </row>
    <row r="20" spans="1:9" ht="24.9" customHeight="1">
      <c r="A20" s="41"/>
      <c r="B20" s="39" t="s">
        <v>21</v>
      </c>
      <c r="C20" s="16" t="s">
        <v>15</v>
      </c>
      <c r="D20" s="17" t="n">
        <f>602752.0</f>
        <v>602752.0</v>
      </c>
      <c r="E20" s="18" t="n">
        <f>25356.0</f>
        <v>25356.0</v>
      </c>
      <c r="F20" s="19" t="n">
        <f>0.966</f>
        <v>0.966</v>
      </c>
      <c r="G20" s="17" t="n">
        <f>3220240645510.0</f>
        <v>3.22024064551E12</v>
      </c>
      <c r="H20" s="18" t="n">
        <f>238088658860.0</f>
        <v>2.3808865886E11</v>
      </c>
      <c r="I20" s="19" t="n">
        <f>0.679</f>
        <v>0.679</v>
      </c>
    </row>
    <row r="21" spans="1:9" ht="24.9" customHeight="1">
      <c r="A21" s="41"/>
      <c r="B21" s="39"/>
      <c r="C21" s="20" t="s">
        <v>16</v>
      </c>
      <c r="D21" s="21" t="n">
        <f>381722.0</f>
        <v>381722.0</v>
      </c>
      <c r="E21" s="22" t="n">
        <f>28339.0</f>
        <v>28339.0</v>
      </c>
      <c r="F21" s="23" t="n">
        <f>0.939</f>
        <v>0.939</v>
      </c>
      <c r="G21" s="21" t="n">
        <f>2706788877690.0</f>
        <v>2.70678887769E12</v>
      </c>
      <c r="H21" s="22" t="n">
        <f>367404732590.0</f>
        <v>3.6740473259E11</v>
      </c>
      <c r="I21" s="23" t="n">
        <f>0.553</f>
        <v>0.553</v>
      </c>
    </row>
    <row r="22" spans="1:9" ht="24.9" customHeight="1">
      <c r="A22" s="41"/>
      <c r="B22" s="39"/>
      <c r="C22" s="20" t="s">
        <v>17</v>
      </c>
      <c r="D22" s="21" t="n">
        <f>385033.0</f>
        <v>385033.0</v>
      </c>
      <c r="E22" s="22" t="n">
        <f>47082.0</f>
        <v>47082.0</v>
      </c>
      <c r="F22" s="23" t="n">
        <f>0.925</f>
        <v>0.925</v>
      </c>
      <c r="G22" s="21" t="n">
        <f>3910193333106.0</f>
        <v>3.910193333106E12</v>
      </c>
      <c r="H22" s="22" t="n">
        <f>1029648355156.0</f>
        <v>1.029648355156E12</v>
      </c>
      <c r="I22" s="23" t="n">
        <f>0.634</f>
        <v>0.634</v>
      </c>
    </row>
    <row r="23" spans="1:9" ht="24.9" customHeight="1">
      <c r="A23" s="41"/>
      <c r="B23" s="39"/>
      <c r="C23" s="24" t="s">
        <v>18</v>
      </c>
      <c r="D23" s="25" t="n">
        <f>1369507.0</f>
        <v>1369507.0</v>
      </c>
      <c r="E23" s="26" t="n">
        <f>100777.0</f>
        <v>100777.0</v>
      </c>
      <c r="F23" s="27" t="n">
        <f>0.947</f>
        <v>0.947</v>
      </c>
      <c r="G23" s="25" t="n">
        <f>9837222856306.0</f>
        <v>9.837222856306E12</v>
      </c>
      <c r="H23" s="26" t="n">
        <f>1635141746606.0</f>
        <v>1.635141746606E12</v>
      </c>
      <c r="I23" s="27" t="n">
        <f>0.623</f>
        <v>0.623</v>
      </c>
    </row>
    <row r="24" spans="1:9" ht="24.9" customHeight="1">
      <c r="A24" s="41"/>
      <c r="B24" s="39" t="s">
        <v>22</v>
      </c>
      <c r="C24" s="16" t="s">
        <v>15</v>
      </c>
      <c r="D24" s="17" t="n">
        <f>8216.0</f>
        <v>8216.0</v>
      </c>
      <c r="E24" s="18" t="n">
        <f>0.0</f>
        <v>0.0</v>
      </c>
      <c r="F24" s="19" t="n">
        <f>0.013</f>
        <v>0.013</v>
      </c>
      <c r="G24" s="17" t="n">
        <f>74891856400.0</f>
        <v>7.48918564E10</v>
      </c>
      <c r="H24" s="18" t="n">
        <f>0.0</f>
        <v>0.0</v>
      </c>
      <c r="I24" s="19" t="n">
        <f>0.016</f>
        <v>0.016</v>
      </c>
    </row>
    <row r="25" spans="1:9" ht="24.9" customHeight="1">
      <c r="A25" s="41"/>
      <c r="B25" s="39"/>
      <c r="C25" s="20" t="s">
        <v>16</v>
      </c>
      <c r="D25" s="21" t="n">
        <f>4298.0</f>
        <v>4298.0</v>
      </c>
      <c r="E25" s="22" t="n">
        <f>0.0</f>
        <v>0.0</v>
      </c>
      <c r="F25" s="23" t="n">
        <f>0.011</f>
        <v>0.011</v>
      </c>
      <c r="G25" s="21" t="n">
        <f>47194263000.0</f>
        <v>4.7194263E10</v>
      </c>
      <c r="H25" s="22" t="n">
        <f>0.0</f>
        <v>0.0</v>
      </c>
      <c r="I25" s="23" t="n">
        <f>0.01</f>
        <v>0.01</v>
      </c>
    </row>
    <row r="26" spans="1:9" ht="24.9" customHeight="1">
      <c r="A26" s="41"/>
      <c r="B26" s="39"/>
      <c r="C26" s="20" t="s">
        <v>17</v>
      </c>
      <c r="D26" s="21" t="n">
        <f>8474.0</f>
        <v>8474.0</v>
      </c>
      <c r="E26" s="22" t="n">
        <f>0.0</f>
        <v>0.0</v>
      </c>
      <c r="F26" s="23" t="n">
        <f>0.02</f>
        <v>0.02</v>
      </c>
      <c r="G26" s="21" t="n">
        <f>80272501250.0</f>
        <v>8.027250125E10</v>
      </c>
      <c r="H26" s="22" t="n">
        <f>0.0</f>
        <v>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20988.0</f>
        <v>20988.0</v>
      </c>
      <c r="E27" s="26" t="n">
        <f>0.0</f>
        <v>0.0</v>
      </c>
      <c r="F27" s="27" t="n">
        <f>0.015</f>
        <v>0.015</v>
      </c>
      <c r="G27" s="25" t="n">
        <f>202358620650.0</f>
        <v>2.0235862065E11</v>
      </c>
      <c r="H27" s="26" t="n">
        <f>0.0</f>
        <v>0.0</v>
      </c>
      <c r="I27" s="27" t="n">
        <f>0.013</f>
        <v>0.013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930.0</f>
        <v>930.0</v>
      </c>
      <c r="E28" s="18" t="n">
        <f>630.0</f>
        <v>630.0</v>
      </c>
      <c r="F28" s="19" t="n">
        <f>0.001</f>
        <v>0.001</v>
      </c>
      <c r="G28" s="17" t="n">
        <f>2192692400.0</f>
        <v>2.1926924E9</v>
      </c>
      <c r="H28" s="18" t="n">
        <f>830138400.0</f>
        <v>8.301384E8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531.0</f>
        <v>531.0</v>
      </c>
      <c r="E29" s="22" t="n">
        <f>0.0</f>
        <v>0.0</v>
      </c>
      <c r="F29" s="23" t="n">
        <f>0.001</f>
        <v>0.001</v>
      </c>
      <c r="G29" s="21" t="n">
        <f>2391866000.0</f>
        <v>2.391866E9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1271.0</f>
        <v>1271.0</v>
      </c>
      <c r="E30" s="22" t="n">
        <f>0.0</f>
        <v>0.0</v>
      </c>
      <c r="F30" s="23" t="n">
        <f>0.003</f>
        <v>0.003</v>
      </c>
      <c r="G30" s="21" t="n">
        <f>5767126500.0</f>
        <v>5.7671265E9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2732.0</f>
        <v>2732.0</v>
      </c>
      <c r="E31" s="26" t="n">
        <f>630.0</f>
        <v>630.0</v>
      </c>
      <c r="F31" s="27" t="n">
        <f>0.002</f>
        <v>0.002</v>
      </c>
      <c r="G31" s="25" t="n">
        <f>10351684900.0</f>
        <v>1.03516849E10</v>
      </c>
      <c r="H31" s="26" t="n">
        <f>830138400.0</f>
        <v>8.301384E8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46301.0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46301.0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15853</f>
        <v>15853.0</v>
      </c>
      <c r="E11" s="18" t="n">
        <f>4106</f>
        <v>4106.0</v>
      </c>
      <c r="F11" s="19" t="n">
        <f>1</f>
        <v>1.0</v>
      </c>
      <c r="G11" s="17" t="n">
        <f>3862040040</f>
        <v>3.86204004E9</v>
      </c>
      <c r="H11" s="18" t="n">
        <f>2626309840</f>
        <v>2.62630984E9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38205</f>
        <v>38205.0</v>
      </c>
      <c r="E12" s="22" t="n">
        <f>12796</f>
        <v>12796.0</v>
      </c>
      <c r="F12" s="23" t="n">
        <f>1</f>
        <v>1.0</v>
      </c>
      <c r="G12" s="21" t="n">
        <f>14014521300</f>
        <v>1.40145213E10</v>
      </c>
      <c r="H12" s="22" t="n">
        <f>12189830630</f>
        <v>1.218983063E10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53193</f>
        <v>53193.0</v>
      </c>
      <c r="E13" s="22" t="n">
        <f>23360</f>
        <v>23360.0</v>
      </c>
      <c r="F13" s="23" t="n">
        <f>1</f>
        <v>1.0</v>
      </c>
      <c r="G13" s="21" t="n">
        <f>23228687682</f>
        <v>2.3228687682E10</v>
      </c>
      <c r="H13" s="22" t="n">
        <f>19672648263</f>
        <v>1.9672648263E10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107251</f>
        <v>107251.0</v>
      </c>
      <c r="E14" s="26" t="n">
        <f>40262</f>
        <v>40262.0</v>
      </c>
      <c r="F14" s="27" t="n">
        <f>1</f>
        <v>1.0</v>
      </c>
      <c r="G14" s="25" t="n">
        <f>41105249022</f>
        <v>4.1105249022E10</v>
      </c>
      <c r="H14" s="26" t="n">
        <f>34488788733</f>
        <v>3.4488788733E10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50</f>
        <v>50.0</v>
      </c>
      <c r="E15" s="18" t="n">
        <f>0</f>
        <v>0.0</v>
      </c>
      <c r="F15" s="19" t="n">
        <f>0.003</f>
        <v>0.003</v>
      </c>
      <c r="G15" s="17" t="n">
        <f>2600000</f>
        <v>2600000.0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150</f>
        <v>150.0</v>
      </c>
      <c r="E16" s="22" t="n">
        <f>0</f>
        <v>0.0</v>
      </c>
      <c r="F16" s="23" t="n">
        <f>0.004</f>
        <v>0.004</v>
      </c>
      <c r="G16" s="21" t="n">
        <f>24560000</f>
        <v>2.456E7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62</f>
        <v>62.0</v>
      </c>
      <c r="E17" s="22" t="n">
        <f>0</f>
        <v>0.0</v>
      </c>
      <c r="F17" s="23" t="n">
        <f>0.001</f>
        <v>0.001</v>
      </c>
      <c r="G17" s="21" t="n">
        <f>9060000</f>
        <v>9060000.0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262</f>
        <v>262.0</v>
      </c>
      <c r="E18" s="26" t="n">
        <f>0</f>
        <v>0.0</v>
      </c>
      <c r="F18" s="27" t="n">
        <f>0.002</f>
        <v>0.002</v>
      </c>
      <c r="G18" s="25" t="n">
        <f>36220000</f>
        <v>3.622E7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15803</f>
        <v>15803.0</v>
      </c>
      <c r="E19" s="18" t="n">
        <f>4106</f>
        <v>4106.0</v>
      </c>
      <c r="F19" s="19" t="n">
        <f>0.997</f>
        <v>0.997</v>
      </c>
      <c r="G19" s="17" t="n">
        <f>3859440040</f>
        <v>3.85944004E9</v>
      </c>
      <c r="H19" s="18" t="n">
        <f>2626309840</f>
        <v>2.62630984E9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27999</f>
        <v>27999.0</v>
      </c>
      <c r="E20" s="22" t="n">
        <f>12596</f>
        <v>12596.0</v>
      </c>
      <c r="F20" s="23" t="n">
        <f>0.733</f>
        <v>0.733</v>
      </c>
      <c r="G20" s="21" t="n">
        <f>13965952030</f>
        <v>1.396595203E10</v>
      </c>
      <c r="H20" s="22" t="n">
        <f>12188580630</f>
        <v>1.218858063E10</v>
      </c>
      <c r="I20" s="23" t="n">
        <f>0.997</f>
        <v>0.997</v>
      </c>
    </row>
    <row r="21" spans="1:9" ht="24.9" customHeight="1">
      <c r="A21" s="41"/>
      <c r="B21" s="39"/>
      <c r="C21" s="20" t="s">
        <v>17</v>
      </c>
      <c r="D21" s="21" t="n">
        <f>50806</f>
        <v>50806.0</v>
      </c>
      <c r="E21" s="22" t="n">
        <f>23360</f>
        <v>23360.0</v>
      </c>
      <c r="F21" s="23" t="n">
        <f>0.955</f>
        <v>0.955</v>
      </c>
      <c r="G21" s="21" t="n">
        <f>23202212463</f>
        <v>2.3202212463E10</v>
      </c>
      <c r="H21" s="22" t="n">
        <f>19672648263</f>
        <v>1.9672648263E10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94608</f>
        <v>94608.0</v>
      </c>
      <c r="E22" s="26" t="n">
        <f>40062</f>
        <v>40062.0</v>
      </c>
      <c r="F22" s="27" t="n">
        <f>0.882</f>
        <v>0.882</v>
      </c>
      <c r="G22" s="25" t="n">
        <f>41027604533</f>
        <v>4.1027604533E10</v>
      </c>
      <c r="H22" s="26" t="n">
        <f>34487538733</f>
        <v>3.4487538733E10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10056</f>
        <v>10056.0</v>
      </c>
      <c r="E24" s="22" t="n">
        <f>200</f>
        <v>200.0</v>
      </c>
      <c r="F24" s="23" t="n">
        <f>0.263</f>
        <v>0.263</v>
      </c>
      <c r="G24" s="21" t="n">
        <f>24009270</f>
        <v>2.400927E7</v>
      </c>
      <c r="H24" s="22" t="n">
        <f>1250000</f>
        <v>1250000.0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2325</f>
        <v>2325.0</v>
      </c>
      <c r="E25" s="22" t="n">
        <f>0</f>
        <v>0.0</v>
      </c>
      <c r="F25" s="23" t="n">
        <f>0.044</f>
        <v>0.044</v>
      </c>
      <c r="G25" s="21" t="n">
        <f>17415219</f>
        <v>1.7415219E7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12381</f>
        <v>12381.0</v>
      </c>
      <c r="E26" s="26" t="n">
        <f>200</f>
        <v>200.0</v>
      </c>
      <c r="F26" s="27" t="n">
        <f>0.115</f>
        <v>0.115</v>
      </c>
      <c r="G26" s="25" t="n">
        <f>41424489</f>
        <v>4.1424489E7</v>
      </c>
      <c r="H26" s="26" t="n">
        <f>1250000</f>
        <v>1250000.0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46301.0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46301.0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10298.0</v>
      </c>
      <c r="F12" s="18" t="n">
        <f>960</f>
        <v>960.0</v>
      </c>
      <c r="G12" s="17" t="n">
        <v>7.212124577E11</v>
      </c>
      <c r="H12" s="18" t="n">
        <f>67182733700</f>
        <v>6.71827337E10</v>
      </c>
    </row>
    <row r="13" spans="1:8" ht="24.9" customHeight="1">
      <c r="A13" s="51"/>
      <c r="B13" s="57"/>
      <c r="C13" s="39"/>
      <c r="D13" s="20" t="s">
        <v>16</v>
      </c>
      <c r="E13" s="21" t="n">
        <v>10716.0</v>
      </c>
      <c r="F13" s="22" t="n">
        <f>2556</f>
        <v>2556.0</v>
      </c>
      <c r="G13" s="21" t="n">
        <v>7.535038775E11</v>
      </c>
      <c r="H13" s="22" t="n">
        <f>179786757500</f>
        <v>1.797867575E11</v>
      </c>
    </row>
    <row r="14" spans="1:8" ht="24.9" customHeight="1">
      <c r="A14" s="51"/>
      <c r="B14" s="57"/>
      <c r="C14" s="39"/>
      <c r="D14" s="20" t="s">
        <v>17</v>
      </c>
      <c r="E14" s="21" t="n">
        <v>18943.0</v>
      </c>
      <c r="F14" s="22" t="n">
        <f>7682</f>
        <v>7682.0</v>
      </c>
      <c r="G14" s="21" t="n">
        <v>1.33916257036E12</v>
      </c>
      <c r="H14" s="22" t="n">
        <f>542861183360</f>
        <v>5.4286118336E11</v>
      </c>
    </row>
    <row r="15" spans="1:8" ht="24.9" customHeight="1">
      <c r="A15" s="51"/>
      <c r="B15" s="57"/>
      <c r="C15" s="39"/>
      <c r="D15" s="24" t="s">
        <v>18</v>
      </c>
      <c r="E15" s="25" t="n">
        <v>39957.0</v>
      </c>
      <c r="F15" s="26" t="n">
        <f>11198</f>
        <v>11198.0</v>
      </c>
      <c r="G15" s="25" t="n">
        <v>2.81387890556E12</v>
      </c>
      <c r="H15" s="26" t="n">
        <f>789830674560</f>
        <v>7.8983067456E11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215840.0</v>
      </c>
      <c r="F16" s="18" t="n">
        <f>23997</f>
        <v>23997.0</v>
      </c>
      <c r="G16" s="17" t="n">
        <v>1.51158139685E12</v>
      </c>
      <c r="H16" s="18" t="n">
        <f>168046864350</f>
        <v>1.6804686435E11</v>
      </c>
    </row>
    <row r="17" spans="1:8" ht="24.9" customHeight="1">
      <c r="A17" s="51"/>
      <c r="B17" s="57"/>
      <c r="C17" s="39"/>
      <c r="D17" s="20" t="s">
        <v>16</v>
      </c>
      <c r="E17" s="21" t="n">
        <v>151063.0</v>
      </c>
      <c r="F17" s="22" t="n">
        <f>25212</f>
        <v>25212.0</v>
      </c>
      <c r="G17" s="21" t="n">
        <v>1.06201984757E12</v>
      </c>
      <c r="H17" s="22" t="n">
        <f>177236252570</f>
        <v>1.7723625257E11</v>
      </c>
    </row>
    <row r="18" spans="1:8" ht="24.9" customHeight="1">
      <c r="A18" s="51"/>
      <c r="B18" s="57"/>
      <c r="C18" s="39"/>
      <c r="D18" s="20" t="s">
        <v>17</v>
      </c>
      <c r="E18" s="21" t="n">
        <v>157596.0</v>
      </c>
      <c r="F18" s="22" t="n">
        <f>32355</f>
        <v>32355.0</v>
      </c>
      <c r="G18" s="21" t="n">
        <v>1.113074530986E12</v>
      </c>
      <c r="H18" s="22" t="n">
        <f>227955523986</f>
        <v>2.27955523986E11</v>
      </c>
    </row>
    <row r="19" spans="1:8" ht="24.9" customHeight="1">
      <c r="A19" s="51"/>
      <c r="B19" s="57"/>
      <c r="C19" s="39"/>
      <c r="D19" s="24" t="s">
        <v>18</v>
      </c>
      <c r="E19" s="25" t="n">
        <v>524499.0</v>
      </c>
      <c r="F19" s="26" t="n">
        <f>81564</f>
        <v>81564.0</v>
      </c>
      <c r="G19" s="25" t="n">
        <v>3.686675775406E12</v>
      </c>
      <c r="H19" s="26" t="n">
        <f>573238640906</f>
        <v>5.73238640906E11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352414.0</v>
      </c>
      <c r="F20" s="18" t="str">
        <f>"－"</f>
        <v>－</v>
      </c>
      <c r="G20" s="17" t="n">
        <v>2.467953887E11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194851.0</v>
      </c>
      <c r="F21" s="22" t="str">
        <f>"－"</f>
        <v>－</v>
      </c>
      <c r="G21" s="21" t="n">
        <v>1.370013939E11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168055.0</v>
      </c>
      <c r="F22" s="22" t="str">
        <f>"－"</f>
        <v>－</v>
      </c>
      <c r="G22" s="21" t="n">
        <v>1.187137406E11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715320.0</v>
      </c>
      <c r="F23" s="26" t="str">
        <f>"－"</f>
        <v>－</v>
      </c>
      <c r="G23" s="25" t="n">
        <v>5.025105232E11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17094.0</v>
      </c>
      <c r="F24" s="18" t="n">
        <f>37</f>
        <v>37.0</v>
      </c>
      <c r="G24" s="17" t="n">
        <v>7.13223006E11</v>
      </c>
      <c r="H24" s="18" t="n">
        <f>1538606000</f>
        <v>1.538606E9</v>
      </c>
    </row>
    <row r="25" spans="1:8" ht="24.9" customHeight="1">
      <c r="A25" s="51"/>
      <c r="B25" s="57"/>
      <c r="C25" s="39"/>
      <c r="D25" s="20" t="s">
        <v>16</v>
      </c>
      <c r="E25" s="21" t="n">
        <v>17382.0</v>
      </c>
      <c r="F25" s="22" t="n">
        <f>220</f>
        <v>220.0</v>
      </c>
      <c r="G25" s="21" t="n">
        <v>7.253784135E11</v>
      </c>
      <c r="H25" s="22" t="n">
        <f>9183103500</f>
        <v>9.1831035E9</v>
      </c>
    </row>
    <row r="26" spans="1:8" ht="24.9" customHeight="1">
      <c r="A26" s="51"/>
      <c r="B26" s="57"/>
      <c r="C26" s="39"/>
      <c r="D26" s="20" t="s">
        <v>17</v>
      </c>
      <c r="E26" s="21" t="n">
        <v>31104.0</v>
      </c>
      <c r="F26" s="22" t="n">
        <f>6114</f>
        <v>6114.0</v>
      </c>
      <c r="G26" s="21" t="n">
        <v>1.3035307163E12</v>
      </c>
      <c r="H26" s="22" t="n">
        <f>256372056300</f>
        <v>2.563720563E11</v>
      </c>
    </row>
    <row r="27" spans="1:8" ht="24.9" customHeight="1">
      <c r="A27" s="51"/>
      <c r="B27" s="57"/>
      <c r="C27" s="39"/>
      <c r="D27" s="24" t="s">
        <v>18</v>
      </c>
      <c r="E27" s="25" t="n">
        <v>65580.0</v>
      </c>
      <c r="F27" s="26" t="n">
        <f>6371</f>
        <v>6371.0</v>
      </c>
      <c r="G27" s="25" t="n">
        <v>2.7421321358E12</v>
      </c>
      <c r="H27" s="26" t="n">
        <f>267093765800</f>
        <v>2.670937658E11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5821.0</v>
      </c>
      <c r="F28" s="18" t="n">
        <f>285</f>
        <v>285.0</v>
      </c>
      <c r="G28" s="17" t="n">
        <v>2.426798985E10</v>
      </c>
      <c r="H28" s="18" t="n">
        <f>1188277600</f>
        <v>1.1882776E9</v>
      </c>
    </row>
    <row r="29" spans="1:8" ht="24.9" customHeight="1">
      <c r="A29" s="51"/>
      <c r="B29" s="57"/>
      <c r="C29" s="39"/>
      <c r="D29" s="20" t="s">
        <v>16</v>
      </c>
      <c r="E29" s="21" t="n">
        <v>5495.0</v>
      </c>
      <c r="F29" s="22" t="n">
        <f>180</f>
        <v>180.0</v>
      </c>
      <c r="G29" s="21" t="n">
        <v>2.292850405E10</v>
      </c>
      <c r="H29" s="22" t="n">
        <f>751177050</f>
        <v>7.5117705E8</v>
      </c>
    </row>
    <row r="30" spans="1:8" ht="24.9" customHeight="1">
      <c r="A30" s="51"/>
      <c r="B30" s="57"/>
      <c r="C30" s="39"/>
      <c r="D30" s="20" t="s">
        <v>17</v>
      </c>
      <c r="E30" s="21" t="n">
        <v>7276.0</v>
      </c>
      <c r="F30" s="22" t="n">
        <f>369</f>
        <v>369.0</v>
      </c>
      <c r="G30" s="21" t="n">
        <v>3.049934608E10</v>
      </c>
      <c r="H30" s="22" t="n">
        <f>1546916330</f>
        <v>1.54691633E9</v>
      </c>
    </row>
    <row r="31" spans="1:8" ht="24.9" customHeight="1">
      <c r="A31" s="51"/>
      <c r="B31" s="57"/>
      <c r="C31" s="39"/>
      <c r="D31" s="24" t="s">
        <v>18</v>
      </c>
      <c r="E31" s="25" t="n">
        <v>18592.0</v>
      </c>
      <c r="F31" s="26" t="n">
        <f>834</f>
        <v>834.0</v>
      </c>
      <c r="G31" s="25" t="n">
        <v>7.769583998E10</v>
      </c>
      <c r="H31" s="26" t="n">
        <f>3486370980</f>
        <v>3.48637098E9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368.0</v>
      </c>
      <c r="F36" s="18" t="n">
        <f>0</f>
        <v>0.0</v>
      </c>
      <c r="G36" s="17" t="n">
        <v>1.3759625E9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1249.0</v>
      </c>
      <c r="F37" s="22" t="n">
        <f>4</f>
        <v>4.0</v>
      </c>
      <c r="G37" s="21" t="n">
        <v>4.67076149E9</v>
      </c>
      <c r="H37" s="22" t="n">
        <f>14969990</f>
        <v>1.496999E7</v>
      </c>
    </row>
    <row r="38" spans="1:8" ht="24.9" customHeight="1">
      <c r="A38" s="51"/>
      <c r="B38" s="57"/>
      <c r="C38" s="39"/>
      <c r="D38" s="20" t="s">
        <v>17</v>
      </c>
      <c r="E38" s="21" t="n">
        <v>987.0</v>
      </c>
      <c r="F38" s="22" t="n">
        <f>0</f>
        <v>0.0</v>
      </c>
      <c r="G38" s="21" t="n">
        <v>3.706764E9</v>
      </c>
      <c r="H38" s="22" t="n">
        <f>0</f>
        <v>0.0</v>
      </c>
    </row>
    <row r="39" spans="1:8" ht="24.9" customHeight="1">
      <c r="A39" s="51"/>
      <c r="B39" s="57"/>
      <c r="C39" s="39"/>
      <c r="D39" s="24" t="s">
        <v>18</v>
      </c>
      <c r="E39" s="25" t="n">
        <v>2604.0</v>
      </c>
      <c r="F39" s="26" t="n">
        <f>4</f>
        <v>4.0</v>
      </c>
      <c r="G39" s="25" t="n">
        <v>9.75348799E9</v>
      </c>
      <c r="H39" s="26" t="n">
        <f>14969990</f>
        <v>1.496999E7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28.0</v>
      </c>
      <c r="F45" s="22" t="n">
        <f>28</f>
        <v>28.0</v>
      </c>
      <c r="G45" s="21" t="n">
        <v>2.17E8</v>
      </c>
      <c r="H45" s="22" t="n">
        <f>217000000</f>
        <v>2.17E8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28.0</v>
      </c>
      <c r="F47" s="26" t="n">
        <f>28</f>
        <v>28.0</v>
      </c>
      <c r="G47" s="25" t="n">
        <v>2.17E8</v>
      </c>
      <c r="H47" s="26" t="n">
        <f>217000000</f>
        <v>2.17E8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60.0</v>
      </c>
      <c r="F48" s="18" t="n">
        <f>58</f>
        <v>58.0</v>
      </c>
      <c r="G48" s="17" t="n">
        <v>9.85575E7</v>
      </c>
      <c r="H48" s="18" t="n">
        <f>95256000</f>
        <v>9.5256E7</v>
      </c>
    </row>
    <row r="49" spans="1:8" ht="24.9" customHeight="1">
      <c r="A49" s="51"/>
      <c r="B49" s="57"/>
      <c r="C49" s="39"/>
      <c r="D49" s="20" t="s">
        <v>16</v>
      </c>
      <c r="E49" s="21" t="n">
        <v>166.0</v>
      </c>
      <c r="F49" s="22" t="n">
        <f>123</f>
        <v>123.0</v>
      </c>
      <c r="G49" s="21" t="n">
        <v>2.7348298E8</v>
      </c>
      <c r="H49" s="22" t="n">
        <f>202489980</f>
        <v>2.0248998E8</v>
      </c>
    </row>
    <row r="50" spans="1:8" ht="24.9" customHeight="1">
      <c r="A50" s="51"/>
      <c r="B50" s="57"/>
      <c r="C50" s="39"/>
      <c r="D50" s="20" t="s">
        <v>17</v>
      </c>
      <c r="E50" s="21" t="n">
        <v>575.0</v>
      </c>
      <c r="F50" s="22" t="n">
        <f>534</f>
        <v>534.0</v>
      </c>
      <c r="G50" s="21" t="n">
        <v>9.5346084E8</v>
      </c>
      <c r="H50" s="22" t="n">
        <f>885407340</f>
        <v>8.8540734E8</v>
      </c>
    </row>
    <row r="51" spans="1:8" ht="24.9" customHeight="1">
      <c r="A51" s="51"/>
      <c r="B51" s="57"/>
      <c r="C51" s="39"/>
      <c r="D51" s="24" t="s">
        <v>18</v>
      </c>
      <c r="E51" s="25" t="n">
        <v>801.0</v>
      </c>
      <c r="F51" s="26" t="n">
        <f>715</f>
        <v>715.0</v>
      </c>
      <c r="G51" s="25" t="n">
        <v>1.32550132E9</v>
      </c>
      <c r="H51" s="26" t="n">
        <f>1183153320</f>
        <v>1.18315332E9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523.0</v>
      </c>
      <c r="F56" s="18" t="n">
        <f>14</f>
        <v>14.0</v>
      </c>
      <c r="G56" s="17" t="n">
        <v>4.18952E8</v>
      </c>
      <c r="H56" s="18" t="n">
        <f>11203000</f>
        <v>1.1203E7</v>
      </c>
    </row>
    <row r="57" spans="1:8" ht="24.9" customHeight="1">
      <c r="A57" s="51"/>
      <c r="B57" s="57"/>
      <c r="C57" s="39"/>
      <c r="D57" s="20" t="s">
        <v>16</v>
      </c>
      <c r="E57" s="21" t="n">
        <v>666.0</v>
      </c>
      <c r="F57" s="22" t="n">
        <f>16</f>
        <v>16.0</v>
      </c>
      <c r="G57" s="21" t="n">
        <v>5.40511E8</v>
      </c>
      <c r="H57" s="22" t="n">
        <f>12982000</f>
        <v>1.2982E7</v>
      </c>
    </row>
    <row r="58" spans="1:8" ht="24.9" customHeight="1">
      <c r="A58" s="51"/>
      <c r="B58" s="57"/>
      <c r="C58" s="39"/>
      <c r="D58" s="20" t="s">
        <v>17</v>
      </c>
      <c r="E58" s="21" t="n">
        <v>444.0</v>
      </c>
      <c r="F58" s="22" t="n">
        <f>27</f>
        <v>27.0</v>
      </c>
      <c r="G58" s="21" t="n">
        <v>3.6110664E8</v>
      </c>
      <c r="H58" s="22" t="n">
        <f>22106640</f>
        <v>2.210664E7</v>
      </c>
    </row>
    <row r="59" spans="1:8" ht="24.9" customHeight="1">
      <c r="A59" s="51"/>
      <c r="B59" s="57"/>
      <c r="C59" s="39"/>
      <c r="D59" s="24" t="s">
        <v>18</v>
      </c>
      <c r="E59" s="25" t="n">
        <v>1633.0</v>
      </c>
      <c r="F59" s="26" t="n">
        <f>57</f>
        <v>57.0</v>
      </c>
      <c r="G59" s="25" t="n">
        <v>1.32056964E9</v>
      </c>
      <c r="H59" s="26" t="n">
        <f>46291640</f>
        <v>4.629164E7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205.0</v>
      </c>
      <c r="F60" s="18" t="n">
        <f>5</f>
        <v>5.0</v>
      </c>
      <c r="G60" s="17" t="n">
        <v>1.05370591E9</v>
      </c>
      <c r="H60" s="18" t="n">
        <f>25718210</f>
        <v>2.571821E7</v>
      </c>
    </row>
    <row r="61" spans="1:8" ht="24.9" customHeight="1">
      <c r="A61" s="51"/>
      <c r="B61" s="57"/>
      <c r="C61" s="39"/>
      <c r="D61" s="20" t="s">
        <v>16</v>
      </c>
      <c r="E61" s="21" t="n">
        <v>21.0</v>
      </c>
      <c r="F61" s="22" t="n">
        <f>0</f>
        <v>0.0</v>
      </c>
      <c r="G61" s="21" t="n">
        <v>1.084448E8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30.0</v>
      </c>
      <c r="F62" s="22" t="n">
        <f>1</f>
        <v>1.0</v>
      </c>
      <c r="G62" s="21" t="n">
        <v>1.549209E8</v>
      </c>
      <c r="H62" s="22" t="n">
        <f>5161200</f>
        <v>5161200.0</v>
      </c>
    </row>
    <row r="63" spans="1:8" ht="24.9" customHeight="1">
      <c r="A63" s="51"/>
      <c r="B63" s="57"/>
      <c r="C63" s="39"/>
      <c r="D63" s="24" t="s">
        <v>18</v>
      </c>
      <c r="E63" s="25" t="n">
        <v>256.0</v>
      </c>
      <c r="F63" s="26" t="n">
        <f>6</f>
        <v>6.0</v>
      </c>
      <c r="G63" s="25" t="n">
        <v>1.31707161E9</v>
      </c>
      <c r="H63" s="26" t="n">
        <f>30879410</f>
        <v>3.087941E7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643000.0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0.0</v>
      </c>
      <c r="F78" s="22" t="n">
        <f>0</f>
        <v>0.0</v>
      </c>
      <c r="G78" s="21" t="n">
        <v>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643000.0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108.0</v>
      </c>
      <c r="F92" s="18" t="n">
        <f>0</f>
        <v>0.0</v>
      </c>
      <c r="G92" s="17" t="n">
        <v>1.696555E8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63.0</v>
      </c>
      <c r="F93" s="22" t="n">
        <f>0</f>
        <v>0.0</v>
      </c>
      <c r="G93" s="21" t="n">
        <v>9.88979E7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23.0</v>
      </c>
      <c r="F94" s="22" t="n">
        <f>0</f>
        <v>0.0</v>
      </c>
      <c r="G94" s="21" t="n">
        <v>3.61764E7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194.0</v>
      </c>
      <c r="F95" s="26" t="n">
        <f>0</f>
        <v>0.0</v>
      </c>
      <c r="G95" s="25" t="n">
        <v>3.047298E8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11.0</v>
      </c>
      <c r="F96" s="18" t="n">
        <f>0</f>
        <v>0.0</v>
      </c>
      <c r="G96" s="17" t="n">
        <v>2.592E7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20.0</v>
      </c>
      <c r="F97" s="22" t="n">
        <f>0</f>
        <v>0.0</v>
      </c>
      <c r="G97" s="21" t="n">
        <v>4.71E7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31.0</v>
      </c>
      <c r="F99" s="26" t="n">
        <f>0</f>
        <v>0.0</v>
      </c>
      <c r="G99" s="25" t="n">
        <v>7.302E7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1.7653E7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1.7653E7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11459.0</v>
      </c>
      <c r="F108" s="18" t="n">
        <f>361</f>
        <v>361.0</v>
      </c>
      <c r="G108" s="17" t="n">
        <v>1.42535583E12</v>
      </c>
      <c r="H108" s="18" t="n">
        <f>44930390000</f>
        <v>4.493039E10</v>
      </c>
    </row>
    <row r="109" spans="1:8" ht="24.9" customHeight="1">
      <c r="A109" s="51"/>
      <c r="B109" s="57"/>
      <c r="C109" s="39"/>
      <c r="D109" s="20" t="s">
        <v>16</v>
      </c>
      <c r="E109" s="21" t="n">
        <v>16892.0</v>
      </c>
      <c r="F109" s="22" t="n">
        <f>713</f>
        <v>713.0</v>
      </c>
      <c r="G109" s="21" t="n">
        <v>2.09850738E12</v>
      </c>
      <c r="H109" s="22" t="n">
        <f>88621550000</f>
        <v>8.862155E10</v>
      </c>
    </row>
    <row r="110" spans="1:8" ht="24.9" customHeight="1">
      <c r="A110" s="51"/>
      <c r="B110" s="57"/>
      <c r="C110" s="39"/>
      <c r="D110" s="20" t="s">
        <v>17</v>
      </c>
      <c r="E110" s="21" t="n">
        <v>17042.0</v>
      </c>
      <c r="F110" s="22" t="n">
        <f>1125</f>
        <v>1125.0</v>
      </c>
      <c r="G110" s="21" t="n">
        <v>2.118126775E12</v>
      </c>
      <c r="H110" s="22" t="n">
        <f>139830565000</f>
        <v>1.39830565E11</v>
      </c>
    </row>
    <row r="111" spans="1:8" ht="24.9" customHeight="1">
      <c r="A111" s="51"/>
      <c r="B111" s="57"/>
      <c r="C111" s="39"/>
      <c r="D111" s="24" t="s">
        <v>18</v>
      </c>
      <c r="E111" s="25" t="n">
        <v>45393.0</v>
      </c>
      <c r="F111" s="26" t="n">
        <f>2199</f>
        <v>2199.0</v>
      </c>
      <c r="G111" s="25" t="n">
        <v>5.641989985E12</v>
      </c>
      <c r="H111" s="26" t="n">
        <f>273382505000</f>
        <v>2.73382505E11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2740.0</v>
      </c>
      <c r="F113" s="22" t="n">
        <f>0</f>
        <v>0.0</v>
      </c>
      <c r="G113" s="21" t="n">
        <v>3.404453E10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1961.0</v>
      </c>
      <c r="F114" s="22" t="n">
        <f>0</f>
        <v>0.0</v>
      </c>
      <c r="G114" s="21" t="n">
        <v>2.4373752E10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4701.0</v>
      </c>
      <c r="F115" s="26" t="n">
        <f>0</f>
        <v>0.0</v>
      </c>
      <c r="G115" s="25" t="n">
        <v>5.8418282E10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2057.0</v>
      </c>
      <c r="F118" s="22" t="n">
        <f>0</f>
        <v>0.0</v>
      </c>
      <c r="G118" s="21" t="n">
        <v>1.7971969E10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2057.0</v>
      </c>
      <c r="F119" s="26" t="n">
        <f>0</f>
        <v>0.0</v>
      </c>
      <c r="G119" s="25" t="n">
        <v>1.7971969E10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707.0</v>
      </c>
      <c r="F120" s="18" t="n">
        <f>0</f>
        <v>0.0</v>
      </c>
      <c r="G120" s="17" t="n">
        <v>1.7422889375E10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260.0</v>
      </c>
      <c r="F121" s="22" t="n">
        <f>0</f>
        <v>0.0</v>
      </c>
      <c r="G121" s="21" t="n">
        <v>6.390548125E9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283.0</v>
      </c>
      <c r="F122" s="22" t="n">
        <f>0</f>
        <v>0.0</v>
      </c>
      <c r="G122" s="21" t="n">
        <v>6.97931E9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1250.0</v>
      </c>
      <c r="F123" s="26" t="n">
        <f>0</f>
        <v>0.0</v>
      </c>
      <c r="G123" s="25" t="n">
        <v>3.07927475E10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2871.0</v>
      </c>
      <c r="F124" s="18" t="n">
        <f>0</f>
        <v>0.0</v>
      </c>
      <c r="G124" s="17" t="n">
        <v>6.2046012E10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1918.0</v>
      </c>
      <c r="F125" s="22" t="n">
        <f>0</f>
        <v>0.0</v>
      </c>
      <c r="G125" s="21" t="n">
        <v>4.1222152E10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3227.0</v>
      </c>
      <c r="F126" s="22" t="n">
        <f>0</f>
        <v>0.0</v>
      </c>
      <c r="G126" s="21" t="n">
        <v>6.910946E10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8016.0</v>
      </c>
      <c r="F127" s="26" t="n">
        <f>0</f>
        <v>0.0</v>
      </c>
      <c r="G127" s="25" t="n">
        <v>1.72377624E11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159.0</v>
      </c>
      <c r="F128" s="18" t="n">
        <f>0</f>
        <v>0.0</v>
      </c>
      <c r="G128" s="17" t="n">
        <v>3.394583E8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90.0</v>
      </c>
      <c r="F129" s="22" t="n">
        <f>0</f>
        <v>0.0</v>
      </c>
      <c r="G129" s="21" t="n">
        <v>1.907485E8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120.0</v>
      </c>
      <c r="F130" s="22" t="n">
        <f>0</f>
        <v>0.0</v>
      </c>
      <c r="G130" s="21" t="n">
        <v>2.541348E8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369.0</v>
      </c>
      <c r="F131" s="26" t="n">
        <f>0</f>
        <v>0.0</v>
      </c>
      <c r="G131" s="25" t="n">
        <v>7.843416E8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3407.0</v>
      </c>
      <c r="F132" s="18" t="n">
        <f>0</f>
        <v>0.0</v>
      </c>
      <c r="G132" s="17" t="n">
        <v>7.38887E9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1329.0</v>
      </c>
      <c r="F133" s="22" t="n">
        <f>0</f>
        <v>0.0</v>
      </c>
      <c r="G133" s="21" t="n">
        <v>2.87012265E9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2747.0</v>
      </c>
      <c r="F134" s="22" t="n">
        <f>0</f>
        <v>0.0</v>
      </c>
      <c r="G134" s="21" t="n">
        <v>5.91398215E9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7483.0</v>
      </c>
      <c r="F135" s="26" t="n">
        <f>0</f>
        <v>0.0</v>
      </c>
      <c r="G135" s="25" t="n">
        <v>1.61729748E10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35.0</v>
      </c>
      <c r="F136" s="18" t="n">
        <f>0</f>
        <v>0.0</v>
      </c>
      <c r="G136" s="17" t="n">
        <v>7.40107E7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11.0</v>
      </c>
      <c r="F137" s="22" t="n">
        <f>0</f>
        <v>0.0</v>
      </c>
      <c r="G137" s="21" t="n">
        <v>2.3086E7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176.0</v>
      </c>
      <c r="F138" s="22" t="n">
        <f>0</f>
        <v>0.0</v>
      </c>
      <c r="G138" s="21" t="n">
        <v>3.690015E8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222.0</v>
      </c>
      <c r="F139" s="26" t="n">
        <f>0</f>
        <v>0.0</v>
      </c>
      <c r="G139" s="25" t="n">
        <v>4.660982E8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1022.0</v>
      </c>
      <c r="F144" s="18" t="n">
        <f>0</f>
        <v>0.0</v>
      </c>
      <c r="G144" s="17" t="n">
        <v>4.3762865E9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592.0</v>
      </c>
      <c r="F145" s="22" t="n">
        <f>0</f>
        <v>0.0</v>
      </c>
      <c r="G145" s="21" t="n">
        <v>2.5345795E9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757.0</v>
      </c>
      <c r="F146" s="22" t="n">
        <f>0</f>
        <v>0.0</v>
      </c>
      <c r="G146" s="21" t="n">
        <v>3.2191275E9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2371.0</v>
      </c>
      <c r="F147" s="26" t="n">
        <f>0</f>
        <v>0.0</v>
      </c>
      <c r="G147" s="25" t="n">
        <v>1.01299935E10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228.0</v>
      </c>
      <c r="F148" s="18" t="n">
        <f>0</f>
        <v>0.0</v>
      </c>
      <c r="G148" s="17" t="n">
        <v>2.011339E8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154.0</v>
      </c>
      <c r="F149" s="22" t="n">
        <f>0</f>
        <v>0.0</v>
      </c>
      <c r="G149" s="21" t="n">
        <v>1.349659E8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133.0</v>
      </c>
      <c r="F150" s="22" t="n">
        <f>0</f>
        <v>0.0</v>
      </c>
      <c r="G150" s="21" t="n">
        <v>1.15913E8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515.0</v>
      </c>
      <c r="F151" s="26" t="n">
        <f>0</f>
        <v>0.0</v>
      </c>
      <c r="G151" s="25" t="n">
        <v>4.520128E8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193.0</v>
      </c>
      <c r="F152" s="18" t="n">
        <f>0</f>
        <v>0.0</v>
      </c>
      <c r="G152" s="17" t="n">
        <v>1.65878E8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67.0</v>
      </c>
      <c r="F153" s="22" t="n">
        <f>0</f>
        <v>0.0</v>
      </c>
      <c r="G153" s="21" t="n">
        <v>5.732565E7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393.0</v>
      </c>
      <c r="F154" s="22" t="n">
        <f>0</f>
        <v>0.0</v>
      </c>
      <c r="G154" s="21" t="n">
        <v>3.361116E8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653.0</v>
      </c>
      <c r="F155" s="26" t="n">
        <f>0</f>
        <v>0.0</v>
      </c>
      <c r="G155" s="25" t="n">
        <v>5.5931525E8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274.0</v>
      </c>
      <c r="F156" s="18" t="n">
        <f>0</f>
        <v>0.0</v>
      </c>
      <c r="G156" s="17" t="n">
        <v>2.411185E8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107.0</v>
      </c>
      <c r="F157" s="22" t="n">
        <f>0</f>
        <v>0.0</v>
      </c>
      <c r="G157" s="21" t="n">
        <v>9.33653E7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808.0</v>
      </c>
      <c r="F158" s="22" t="n">
        <f>0</f>
        <v>0.0</v>
      </c>
      <c r="G158" s="21" t="n">
        <v>6.994762E8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1189.0</v>
      </c>
      <c r="F159" s="26" t="n">
        <f>0</f>
        <v>0.0</v>
      </c>
      <c r="G159" s="25" t="n">
        <v>1.03396E9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19.0</v>
      </c>
      <c r="F168" s="18" t="n">
        <f>0</f>
        <v>0.0</v>
      </c>
      <c r="G168" s="17" t="n">
        <v>4.29985E7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30.0</v>
      </c>
      <c r="F169" s="22" t="n">
        <f>0</f>
        <v>0.0</v>
      </c>
      <c r="G169" s="21" t="n">
        <v>6.79175E7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113.0</v>
      </c>
      <c r="F170" s="22" t="n">
        <f>0</f>
        <v>0.0</v>
      </c>
      <c r="G170" s="21" t="n">
        <v>2.552945E8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162.0</v>
      </c>
      <c r="F171" s="26" t="n">
        <f>0</f>
        <v>0.0</v>
      </c>
      <c r="G171" s="25" t="n">
        <v>3.662105E8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1.609E7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8.0</v>
      </c>
      <c r="F179" s="26" t="n">
        <f>0</f>
        <v>0.0</v>
      </c>
      <c r="G179" s="25" t="n">
        <v>1.609E7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300.0</v>
      </c>
      <c r="F204" s="18" t="n">
        <f>0</f>
        <v>0.0</v>
      </c>
      <c r="G204" s="17" t="n">
        <v>1.362554E9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531.0</v>
      </c>
      <c r="F205" s="22" t="n">
        <f>0</f>
        <v>0.0</v>
      </c>
      <c r="G205" s="21" t="n">
        <v>2.391866E9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1271.0</v>
      </c>
      <c r="F206" s="22" t="n">
        <f>0</f>
        <v>0.0</v>
      </c>
      <c r="G206" s="21" t="n">
        <v>5.7671265E9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2102.0</v>
      </c>
      <c r="F207" s="26" t="n">
        <f>0</f>
        <v>0.0</v>
      </c>
      <c r="G207" s="25" t="n">
        <v>9.5215465E9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600.0</v>
      </c>
      <c r="F208" s="18" t="n">
        <f>600</f>
        <v>600.0</v>
      </c>
      <c r="G208" s="17" t="n">
        <v>7.99344E8</v>
      </c>
      <c r="H208" s="18" t="n">
        <f>799344000</f>
        <v>7.99344E8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600.0</v>
      </c>
      <c r="F211" s="26" t="n">
        <f>600</f>
        <v>600.0</v>
      </c>
      <c r="G211" s="25" t="n">
        <v>7.99344E8</v>
      </c>
      <c r="H211" s="26" t="n">
        <f>799344000</f>
        <v>7.99344E8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30.0</v>
      </c>
      <c r="F212" s="18" t="n">
        <f>30</f>
        <v>30.0</v>
      </c>
      <c r="G212" s="17" t="n">
        <v>3.07944E7</v>
      </c>
      <c r="H212" s="18" t="n">
        <f>30794400</f>
        <v>3.07944E7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30.0</v>
      </c>
      <c r="F215" s="26" t="n">
        <f>30</f>
        <v>30.0</v>
      </c>
      <c r="G215" s="25" t="n">
        <v>3.07944E7</v>
      </c>
      <c r="H215" s="26" t="n">
        <f>30794400</f>
        <v>3.07944E7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46301.0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46301.0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4870</f>
        <v>4870.0</v>
      </c>
      <c r="E12" s="35" t="n">
        <f>2674</f>
        <v>2674.0</v>
      </c>
      <c r="F12" s="17" t="n">
        <f>2581</f>
        <v>2581.0</v>
      </c>
      <c r="G12" s="35" t="n">
        <f>882</f>
        <v>882.0</v>
      </c>
      <c r="H12" s="17" t="n">
        <f>7451</f>
        <v>7451.0</v>
      </c>
      <c r="I12" s="35" t="n">
        <f>3556</f>
        <v>3556.0</v>
      </c>
      <c r="J12" s="17" t="n">
        <f>2071807270</f>
        <v>2.07180727E9</v>
      </c>
      <c r="K12" s="35" t="n">
        <f>1708625270</f>
        <v>1.70862527E9</v>
      </c>
      <c r="L12" s="17" t="n">
        <f>1519459970</f>
        <v>1.51945997E9</v>
      </c>
      <c r="M12" s="35" t="n">
        <f>911651970</f>
        <v>9.1165197E8</v>
      </c>
      <c r="N12" s="17" t="n">
        <f>3591267240</f>
        <v>3.59126724E9</v>
      </c>
      <c r="O12" s="35" t="n">
        <f>2620277240</f>
        <v>2.62027724E9</v>
      </c>
    </row>
    <row r="13" spans="1:15" ht="24.9" customHeight="1">
      <c r="A13" s="38"/>
      <c r="B13" s="62"/>
      <c r="C13" s="20" t="s">
        <v>16</v>
      </c>
      <c r="D13" s="21" t="n">
        <f>10257</f>
        <v>10257.0</v>
      </c>
      <c r="E13" s="36" t="n">
        <f>6524</f>
        <v>6524.0</v>
      </c>
      <c r="F13" s="21" t="n">
        <f>9074</f>
        <v>9074.0</v>
      </c>
      <c r="G13" s="36" t="n">
        <f>5090</f>
        <v>5090.0</v>
      </c>
      <c r="H13" s="21" t="n">
        <f>19331</f>
        <v>19331.0</v>
      </c>
      <c r="I13" s="36" t="n">
        <f>11614</f>
        <v>11614.0</v>
      </c>
      <c r="J13" s="21" t="n">
        <f>5823001650</f>
        <v>5.82300165E9</v>
      </c>
      <c r="K13" s="36" t="n">
        <f>5220694650</f>
        <v>5.22069465E9</v>
      </c>
      <c r="L13" s="21" t="n">
        <f>7552429640</f>
        <v>7.55242964E9</v>
      </c>
      <c r="M13" s="36" t="n">
        <f>6605332640</f>
        <v>6.60533264E9</v>
      </c>
      <c r="N13" s="21" t="n">
        <f>13375431290</f>
        <v>1.337543129E10</v>
      </c>
      <c r="O13" s="36" t="n">
        <f>11826027290</f>
        <v>1.182602729E10</v>
      </c>
    </row>
    <row r="14" spans="1:15" ht="24.9" customHeight="1">
      <c r="A14" s="38"/>
      <c r="B14" s="62"/>
      <c r="C14" s="20" t="s">
        <v>17</v>
      </c>
      <c r="D14" s="21" t="n">
        <f>25021</f>
        <v>25021.0</v>
      </c>
      <c r="E14" s="36" t="n">
        <f>14713</f>
        <v>14713.0</v>
      </c>
      <c r="F14" s="21" t="n">
        <f>11537</f>
        <v>11537.0</v>
      </c>
      <c r="G14" s="36" t="n">
        <f>6826</f>
        <v>6826.0</v>
      </c>
      <c r="H14" s="21" t="n">
        <f>36558</f>
        <v>36558.0</v>
      </c>
      <c r="I14" s="36" t="n">
        <f>21539</f>
        <v>21539.0</v>
      </c>
      <c r="J14" s="21" t="n">
        <f>11150908233</f>
        <v>1.1150908233E10</v>
      </c>
      <c r="K14" s="36" t="n">
        <f>9804259233</f>
        <v>9.804259233E9</v>
      </c>
      <c r="L14" s="21" t="n">
        <f>11037805100</f>
        <v>1.10378051E10</v>
      </c>
      <c r="M14" s="36" t="n">
        <f>9249083100</f>
        <v>9.2490831E9</v>
      </c>
      <c r="N14" s="21" t="n">
        <f>22188713333</f>
        <v>2.2188713333E10</v>
      </c>
      <c r="O14" s="36" t="n">
        <f>19053342333</f>
        <v>1.9053342333E10</v>
      </c>
    </row>
    <row r="15" spans="1:15" ht="24.9" customHeight="1">
      <c r="A15" s="38"/>
      <c r="B15" s="62"/>
      <c r="C15" s="24" t="s">
        <v>18</v>
      </c>
      <c r="D15" s="25" t="n">
        <f>40148</f>
        <v>40148.0</v>
      </c>
      <c r="E15" s="37" t="n">
        <f>23911</f>
        <v>23911.0</v>
      </c>
      <c r="F15" s="25" t="n">
        <f>23192</f>
        <v>23192.0</v>
      </c>
      <c r="G15" s="37" t="n">
        <f>12798</f>
        <v>12798.0</v>
      </c>
      <c r="H15" s="25" t="n">
        <f>63340</f>
        <v>63340.0</v>
      </c>
      <c r="I15" s="37" t="n">
        <f>36709</f>
        <v>36709.0</v>
      </c>
      <c r="J15" s="25" t="n">
        <f>19045717153</f>
        <v>1.9045717153E10</v>
      </c>
      <c r="K15" s="37" t="n">
        <f>16733579153</f>
        <v>1.6733579153E10</v>
      </c>
      <c r="L15" s="25" t="n">
        <f>20109694710</f>
        <v>2.010969471E10</v>
      </c>
      <c r="M15" s="37" t="n">
        <f>16766067710</f>
        <v>1.676606771E10</v>
      </c>
      <c r="N15" s="25" t="n">
        <f>39155411863</f>
        <v>3.9155411863E10</v>
      </c>
      <c r="O15" s="37" t="n">
        <f>33499646863</f>
        <v>3.3499646863E10</v>
      </c>
    </row>
    <row r="16" spans="1:15" ht="24.9" customHeight="1">
      <c r="A16" s="38"/>
      <c r="B16" s="61" t="s">
        <v>105</v>
      </c>
      <c r="C16" s="16" t="s">
        <v>15</v>
      </c>
      <c r="D16" s="17" t="n">
        <f>5714</f>
        <v>5714.0</v>
      </c>
      <c r="E16" s="35" t="n">
        <f>450</f>
        <v>450.0</v>
      </c>
      <c r="F16" s="17" t="n">
        <f>2638</f>
        <v>2638.0</v>
      </c>
      <c r="G16" s="35" t="n">
        <f>100</f>
        <v>100.0</v>
      </c>
      <c r="H16" s="17" t="n">
        <f>8352</f>
        <v>8352.0</v>
      </c>
      <c r="I16" s="35" t="n">
        <f>550</f>
        <v>550.0</v>
      </c>
      <c r="J16" s="17" t="n">
        <f>118043700</f>
        <v>1.180437E8</v>
      </c>
      <c r="K16" s="35" t="n">
        <f>3028300</f>
        <v>3028300.0</v>
      </c>
      <c r="L16" s="17" t="n">
        <f>150129100</f>
        <v>1.501291E8</v>
      </c>
      <c r="M16" s="35" t="n">
        <f>3004300</f>
        <v>3004300.0</v>
      </c>
      <c r="N16" s="17" t="n">
        <f>268172800</f>
        <v>2.681728E8</v>
      </c>
      <c r="O16" s="35" t="n">
        <f>6032600</f>
        <v>6032600.0</v>
      </c>
    </row>
    <row r="17" spans="1:15" ht="24.9" customHeight="1">
      <c r="A17" s="38"/>
      <c r="B17" s="62"/>
      <c r="C17" s="20" t="s">
        <v>16</v>
      </c>
      <c r="D17" s="21" t="n">
        <f>5478</f>
        <v>5478.0</v>
      </c>
      <c r="E17" s="36" t="n">
        <f>390</f>
        <v>390.0</v>
      </c>
      <c r="F17" s="21" t="n">
        <f>2668</f>
        <v>2668.0</v>
      </c>
      <c r="G17" s="36" t="n">
        <f>70</f>
        <v>70.0</v>
      </c>
      <c r="H17" s="21" t="n">
        <f>8146</f>
        <v>8146.0</v>
      </c>
      <c r="I17" s="36" t="n">
        <f>460</f>
        <v>460.0</v>
      </c>
      <c r="J17" s="21" t="n">
        <f>94984570</f>
        <v>9.498457E7</v>
      </c>
      <c r="K17" s="36" t="n">
        <f>1979070</f>
        <v>1979070.0</v>
      </c>
      <c r="L17" s="21" t="n">
        <f>136206170</f>
        <v>1.3620617E8</v>
      </c>
      <c r="M17" s="36" t="n">
        <f>1244270</f>
        <v>1244270.0</v>
      </c>
      <c r="N17" s="21" t="n">
        <f>231190740</f>
        <v>2.3119074E8</v>
      </c>
      <c r="O17" s="36" t="n">
        <f>3223340</f>
        <v>3223340.0</v>
      </c>
    </row>
    <row r="18" spans="1:15" ht="24.9" customHeight="1">
      <c r="A18" s="38"/>
      <c r="B18" s="62"/>
      <c r="C18" s="20" t="s">
        <v>17</v>
      </c>
      <c r="D18" s="21" t="n">
        <f>8738</f>
        <v>8738.0</v>
      </c>
      <c r="E18" s="36" t="n">
        <f>510</f>
        <v>510.0</v>
      </c>
      <c r="F18" s="21" t="n">
        <f>4244</f>
        <v>4244.0</v>
      </c>
      <c r="G18" s="36" t="n">
        <f>60</f>
        <v>60.0</v>
      </c>
      <c r="H18" s="21" t="n">
        <f>12982</f>
        <v>12982.0</v>
      </c>
      <c r="I18" s="36" t="n">
        <f>570</f>
        <v>570.0</v>
      </c>
      <c r="J18" s="21" t="n">
        <f>175992140</f>
        <v>1.7599214E8</v>
      </c>
      <c r="K18" s="36" t="n">
        <f>3690140</f>
        <v>3690140.0</v>
      </c>
      <c r="L18" s="21" t="n">
        <f>221833990</f>
        <v>2.2183399E8</v>
      </c>
      <c r="M18" s="36" t="n">
        <f>3767790</f>
        <v>3767790.0</v>
      </c>
      <c r="N18" s="21" t="n">
        <f>397826130</f>
        <v>3.9782613E8</v>
      </c>
      <c r="O18" s="36" t="n">
        <f>7457930</f>
        <v>7457930.0</v>
      </c>
    </row>
    <row r="19" spans="1:15" ht="24.9" customHeight="1">
      <c r="A19" s="38"/>
      <c r="B19" s="62"/>
      <c r="C19" s="24" t="s">
        <v>18</v>
      </c>
      <c r="D19" s="25" t="n">
        <f>19930</f>
        <v>19930.0</v>
      </c>
      <c r="E19" s="37" t="n">
        <f>1350</f>
        <v>1350.0</v>
      </c>
      <c r="F19" s="25" t="n">
        <f>9550</f>
        <v>9550.0</v>
      </c>
      <c r="G19" s="37" t="n">
        <f>230</f>
        <v>230.0</v>
      </c>
      <c r="H19" s="25" t="n">
        <f>29480</f>
        <v>29480.0</v>
      </c>
      <c r="I19" s="37" t="n">
        <f>1580</f>
        <v>1580.0</v>
      </c>
      <c r="J19" s="25" t="n">
        <f>389020410</f>
        <v>3.8902041E8</v>
      </c>
      <c r="K19" s="37" t="n">
        <f>8697510</f>
        <v>8697510.0</v>
      </c>
      <c r="L19" s="25" t="n">
        <f>508169260</f>
        <v>5.0816926E8</v>
      </c>
      <c r="M19" s="37" t="n">
        <f>8016360</f>
        <v>8016360.0</v>
      </c>
      <c r="N19" s="25" t="n">
        <f>897189670</f>
        <v>8.9718967E8</v>
      </c>
      <c r="O19" s="37" t="n">
        <f>16713870</f>
        <v>1.671387E7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322</f>
        <v>322.0</v>
      </c>
      <c r="E21" s="36" t="n">
        <f>322</f>
        <v>322.0</v>
      </c>
      <c r="F21" s="21" t="n">
        <f>200</f>
        <v>200.0</v>
      </c>
      <c r="G21" s="36" t="n">
        <f>200</f>
        <v>200.0</v>
      </c>
      <c r="H21" s="21" t="n">
        <f>522</f>
        <v>522.0</v>
      </c>
      <c r="I21" s="36" t="n">
        <f>522</f>
        <v>522.0</v>
      </c>
      <c r="J21" s="21" t="n">
        <f>248330000</f>
        <v>2.4833E8</v>
      </c>
      <c r="K21" s="36" t="n">
        <f>248330000</f>
        <v>2.4833E8</v>
      </c>
      <c r="L21" s="21" t="n">
        <f>111000000</f>
        <v>1.11E8</v>
      </c>
      <c r="M21" s="36" t="n">
        <f>111000000</f>
        <v>1.11E8</v>
      </c>
      <c r="N21" s="21" t="n">
        <f>359330000</f>
        <v>3.5933E8</v>
      </c>
      <c r="O21" s="36" t="n">
        <f>359330000</f>
        <v>3.5933E8</v>
      </c>
    </row>
    <row r="22" spans="1:15" ht="24.9" customHeight="1">
      <c r="A22" s="38"/>
      <c r="B22" s="62"/>
      <c r="C22" s="20" t="s">
        <v>17</v>
      </c>
      <c r="D22" s="21" t="n">
        <f>634</f>
        <v>634.0</v>
      </c>
      <c r="E22" s="36" t="n">
        <f>634</f>
        <v>634.0</v>
      </c>
      <c r="F22" s="21" t="n">
        <f>632</f>
        <v>632.0</v>
      </c>
      <c r="G22" s="36" t="n">
        <f>617</f>
        <v>617.0</v>
      </c>
      <c r="H22" s="21" t="n">
        <f>1266</f>
        <v>1266.0</v>
      </c>
      <c r="I22" s="36" t="n">
        <f>1251</f>
        <v>1251.0</v>
      </c>
      <c r="J22" s="21" t="n">
        <f>308869000</f>
        <v>3.08869E8</v>
      </c>
      <c r="K22" s="36" t="n">
        <f>308869000</f>
        <v>3.08869E8</v>
      </c>
      <c r="L22" s="21" t="n">
        <f>306804000</f>
        <v>3.06804E8</v>
      </c>
      <c r="M22" s="36" t="n">
        <f>302979000</f>
        <v>3.02979E8</v>
      </c>
      <c r="N22" s="21" t="n">
        <f>615673000</f>
        <v>6.15673E8</v>
      </c>
      <c r="O22" s="36" t="n">
        <f>611848000</f>
        <v>6.11848E8</v>
      </c>
    </row>
    <row r="23" spans="1:15" ht="24.9" customHeight="1">
      <c r="A23" s="38"/>
      <c r="B23" s="62"/>
      <c r="C23" s="24" t="s">
        <v>18</v>
      </c>
      <c r="D23" s="25" t="n">
        <f>956</f>
        <v>956.0</v>
      </c>
      <c r="E23" s="37" t="n">
        <f>956</f>
        <v>956.0</v>
      </c>
      <c r="F23" s="25" t="n">
        <f>832</f>
        <v>832.0</v>
      </c>
      <c r="G23" s="37" t="n">
        <f>817</f>
        <v>817.0</v>
      </c>
      <c r="H23" s="25" t="n">
        <f>1788</f>
        <v>1788.0</v>
      </c>
      <c r="I23" s="37" t="n">
        <f>1773</f>
        <v>1773.0</v>
      </c>
      <c r="J23" s="25" t="n">
        <f>557199000</f>
        <v>5.57199E8</v>
      </c>
      <c r="K23" s="37" t="n">
        <f>557199000</f>
        <v>5.57199E8</v>
      </c>
      <c r="L23" s="25" t="n">
        <f>417804000</f>
        <v>4.17804E8</v>
      </c>
      <c r="M23" s="37" t="n">
        <f>413979000</f>
        <v>4.13979E8</v>
      </c>
      <c r="N23" s="25" t="n">
        <f>975003000</f>
        <v>9.75003E8</v>
      </c>
      <c r="O23" s="37" t="n">
        <f>971178000</f>
        <v>9.71178E8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50</f>
        <v>50.0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50</f>
        <v>50.0</v>
      </c>
      <c r="I36" s="18" t="n">
        <f>0</f>
        <v>0.0</v>
      </c>
      <c r="J36" s="17" t="n">
        <f>2600000</f>
        <v>2600000.0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2600000</f>
        <v>2600000.0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120</f>
        <v>120.0</v>
      </c>
      <c r="E37" s="22" t="n">
        <f>0</f>
        <v>0.0</v>
      </c>
      <c r="F37" s="21" t="n">
        <f>30</f>
        <v>30.0</v>
      </c>
      <c r="G37" s="22" t="n">
        <f>0</f>
        <v>0.0</v>
      </c>
      <c r="H37" s="21" t="n">
        <f>150</f>
        <v>150.0</v>
      </c>
      <c r="I37" s="22" t="n">
        <f>0</f>
        <v>0.0</v>
      </c>
      <c r="J37" s="21" t="n">
        <f>16910000</f>
        <v>1.691E7</v>
      </c>
      <c r="K37" s="22" t="n">
        <f>0</f>
        <v>0.0</v>
      </c>
      <c r="L37" s="21" t="n">
        <f>7650000</f>
        <v>7650000.0</v>
      </c>
      <c r="M37" s="22" t="n">
        <f>0</f>
        <v>0.0</v>
      </c>
      <c r="N37" s="21" t="n">
        <f>24560000</f>
        <v>2.456E7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0</f>
        <v>0.0</v>
      </c>
      <c r="E38" s="36" t="n">
        <f>0</f>
        <v>0.0</v>
      </c>
      <c r="F38" s="21" t="n">
        <f>62</f>
        <v>62.0</v>
      </c>
      <c r="G38" s="36" t="n">
        <f>0</f>
        <v>0.0</v>
      </c>
      <c r="H38" s="21" t="n">
        <f>62</f>
        <v>62.0</v>
      </c>
      <c r="I38" s="36" t="n">
        <f>0</f>
        <v>0.0</v>
      </c>
      <c r="J38" s="21" t="n">
        <f>0</f>
        <v>0.0</v>
      </c>
      <c r="K38" s="36" t="n">
        <f>0</f>
        <v>0.0</v>
      </c>
      <c r="L38" s="21" t="n">
        <f>9060000</f>
        <v>9060000.0</v>
      </c>
      <c r="M38" s="36" t="n">
        <f>0</f>
        <v>0.0</v>
      </c>
      <c r="N38" s="21" t="n">
        <f>9060000</f>
        <v>9060000.0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170</f>
        <v>170.0</v>
      </c>
      <c r="E39" s="37" t="n">
        <f>0</f>
        <v>0.0</v>
      </c>
      <c r="F39" s="25" t="n">
        <f>92</f>
        <v>92.0</v>
      </c>
      <c r="G39" s="37" t="n">
        <f>0</f>
        <v>0.0</v>
      </c>
      <c r="H39" s="25" t="n">
        <f>262</f>
        <v>262.0</v>
      </c>
      <c r="I39" s="37" t="n">
        <f>0</f>
        <v>0.0</v>
      </c>
      <c r="J39" s="25" t="n">
        <f>19510000</f>
        <v>1.951E7</v>
      </c>
      <c r="K39" s="37" t="n">
        <f>0</f>
        <v>0.0</v>
      </c>
      <c r="L39" s="25" t="n">
        <f>16710000</f>
        <v>1.671E7</v>
      </c>
      <c r="M39" s="37" t="n">
        <f>0</f>
        <v>0.0</v>
      </c>
      <c r="N39" s="25" t="n">
        <f>36220000</f>
        <v>3.622E7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1003</f>
        <v>1003.0</v>
      </c>
      <c r="E41" s="36" t="n">
        <f>200</f>
        <v>200.0</v>
      </c>
      <c r="F41" s="21" t="n">
        <f>9053</f>
        <v>9053.0</v>
      </c>
      <c r="G41" s="36" t="n">
        <f>0</f>
        <v>0.0</v>
      </c>
      <c r="H41" s="21" t="n">
        <f>10056</f>
        <v>10056.0</v>
      </c>
      <c r="I41" s="36" t="n">
        <f>200</f>
        <v>200.0</v>
      </c>
      <c r="J41" s="21" t="n">
        <f>11727570</f>
        <v>1.172757E7</v>
      </c>
      <c r="K41" s="36" t="n">
        <f>1250000</f>
        <v>1250000.0</v>
      </c>
      <c r="L41" s="21" t="n">
        <f>12281700</f>
        <v>1.22817E7</v>
      </c>
      <c r="M41" s="36" t="n">
        <f>0</f>
        <v>0.0</v>
      </c>
      <c r="N41" s="21" t="n">
        <f>24009270</f>
        <v>2.400927E7</v>
      </c>
      <c r="O41" s="36" t="n">
        <f>1250000</f>
        <v>1250000.0</v>
      </c>
    </row>
    <row r="42" spans="1:15" ht="24.9" customHeight="1">
      <c r="A42" s="38"/>
      <c r="B42" s="62"/>
      <c r="C42" s="20" t="s">
        <v>17</v>
      </c>
      <c r="D42" s="21" t="n">
        <f>1766</f>
        <v>1766.0</v>
      </c>
      <c r="E42" s="36" t="n">
        <f>0</f>
        <v>0.0</v>
      </c>
      <c r="F42" s="21" t="n">
        <f>559</f>
        <v>559.0</v>
      </c>
      <c r="G42" s="36" t="n">
        <f>0</f>
        <v>0.0</v>
      </c>
      <c r="H42" s="21" t="n">
        <f>2325</f>
        <v>2325.0</v>
      </c>
      <c r="I42" s="36" t="n">
        <f>0</f>
        <v>0.0</v>
      </c>
      <c r="J42" s="21" t="n">
        <f>16665729</f>
        <v>1.6665729E7</v>
      </c>
      <c r="K42" s="36" t="n">
        <f>0</f>
        <v>0.0</v>
      </c>
      <c r="L42" s="21" t="n">
        <f>749490</f>
        <v>749490.0</v>
      </c>
      <c r="M42" s="36" t="n">
        <f>0</f>
        <v>0.0</v>
      </c>
      <c r="N42" s="21" t="n">
        <f>17415219</f>
        <v>1.7415219E7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2769</f>
        <v>2769.0</v>
      </c>
      <c r="E43" s="37" t="n">
        <f>200</f>
        <v>200.0</v>
      </c>
      <c r="F43" s="25" t="n">
        <f>9612</f>
        <v>9612.0</v>
      </c>
      <c r="G43" s="37" t="n">
        <f>0</f>
        <v>0.0</v>
      </c>
      <c r="H43" s="25" t="n">
        <f>12381</f>
        <v>12381.0</v>
      </c>
      <c r="I43" s="37" t="n">
        <f>200</f>
        <v>200.0</v>
      </c>
      <c r="J43" s="25" t="n">
        <f>28393299</f>
        <v>2.8393299E7</v>
      </c>
      <c r="K43" s="37" t="n">
        <f>1250000</f>
        <v>1250000.0</v>
      </c>
      <c r="L43" s="25" t="n">
        <f>13031190</f>
        <v>1.303119E7</v>
      </c>
      <c r="M43" s="37" t="n">
        <f>0</f>
        <v>0.0</v>
      </c>
      <c r="N43" s="25" t="n">
        <f>41424489</f>
        <v>4.1424489E7</v>
      </c>
      <c r="O43" s="37" t="n">
        <f>1250000</f>
        <v>1250000.0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