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<sst xmlns="http://schemas.openxmlformats.org/spreadsheetml/2006/main" count="528" uniqueCount="129">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</sst>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DATE(2026,09,14)</f>
        <v>46279.0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DATE(2026,09,14)</f>
        <v>46279.0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792456.0</f>
        <v>792456.0</v>
      </c>
      <c r="E12" s="18" t="n">
        <f>38869.0</f>
        <v>38869.0</v>
      </c>
      <c r="F12" s="19" t="n">
        <f>1.0</f>
        <v>1.0</v>
      </c>
      <c r="G12" s="17" t="n">
        <f>6031526567125.0</f>
        <v>6.031526567125E12</v>
      </c>
      <c r="H12" s="18" t="n">
        <f>539237061100.0</f>
        <v>5.392370611E11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430747.0</f>
        <v>430747.0</v>
      </c>
      <c r="E13" s="22" t="n">
        <f>20489.0</f>
        <v>20489.0</v>
      </c>
      <c r="F13" s="23" t="n">
        <f>1.0</f>
        <v>1.0</v>
      </c>
      <c r="G13" s="21" t="n">
        <f>3884658210004.0</f>
        <v>3.884658210004E12</v>
      </c>
      <c r="H13" s="22" t="n">
        <f>336991440204.0</f>
        <v>3.36991440204E11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360867.0</f>
        <v>360867.0</v>
      </c>
      <c r="E14" s="22" t="n">
        <f>36441.0</f>
        <v>36441.0</v>
      </c>
      <c r="F14" s="23" t="n">
        <f>1.0</f>
        <v>1.0</v>
      </c>
      <c r="G14" s="21" t="n">
        <f>5229142580885.0</f>
        <v>5.229142580885E12</v>
      </c>
      <c r="H14" s="22" t="n">
        <f>1255260532060.0</f>
        <v>1.25526053206E12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1584070.0</f>
        <v>1584070.0</v>
      </c>
      <c r="E15" s="26" t="n">
        <f>95799.0</f>
        <v>95799.0</v>
      </c>
      <c r="F15" s="27" t="n">
        <f>1.0</f>
        <v>1.0</v>
      </c>
      <c r="G15" s="25" t="n">
        <f>15145327358014.0</f>
        <v>1.5145327358014E13</v>
      </c>
      <c r="H15" s="26" t="n">
        <f>2131489033364.0</f>
        <v>2.131489033364E12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20348.0</f>
        <v>20348.0</v>
      </c>
      <c r="E16" s="18" t="n">
        <f>2069.0</f>
        <v>2069.0</v>
      </c>
      <c r="F16" s="19" t="n">
        <f>0.026</f>
        <v>0.026</v>
      </c>
      <c r="G16" s="17" t="n">
        <f>2479183656875.0</f>
        <v>2.479183656875E12</v>
      </c>
      <c r="H16" s="18" t="n">
        <f>260143570000.0</f>
        <v>2.6014357E11</v>
      </c>
      <c r="I16" s="19" t="n">
        <f>0.411</f>
        <v>0.411</v>
      </c>
    </row>
    <row r="17" spans="1:9" ht="24.9" customHeight="1">
      <c r="A17" s="41"/>
      <c r="B17" s="39"/>
      <c r="C17" s="20" t="s">
        <v>16</v>
      </c>
      <c r="D17" s="21" t="n">
        <f>12449.0</f>
        <v>12449.0</v>
      </c>
      <c r="E17" s="22" t="n">
        <f>810.0</f>
        <v>810.0</v>
      </c>
      <c r="F17" s="23" t="n">
        <f>0.029</f>
        <v>0.029</v>
      </c>
      <c r="G17" s="21" t="n">
        <f>1274173046750.0</f>
        <v>1.27417304675E12</v>
      </c>
      <c r="H17" s="22" t="n">
        <f>101518620000.0</f>
        <v>1.0151862E11</v>
      </c>
      <c r="I17" s="23" t="n">
        <f>0.328</f>
        <v>0.328</v>
      </c>
    </row>
    <row r="18" spans="1:9" ht="24.9" customHeight="1">
      <c r="A18" s="41"/>
      <c r="B18" s="39"/>
      <c r="C18" s="20" t="s">
        <v>17</v>
      </c>
      <c r="D18" s="21" t="n">
        <f>25433.0</f>
        <v>25433.0</v>
      </c>
      <c r="E18" s="22" t="n">
        <f>9209.0</f>
        <v>9209.0</v>
      </c>
      <c r="F18" s="23" t="n">
        <f>0.07</f>
        <v>0.07</v>
      </c>
      <c r="G18" s="21" t="n">
        <f>2405315571875.0</f>
        <v>2.405315571875E12</v>
      </c>
      <c r="H18" s="22" t="n">
        <f>746041375000.0</f>
        <v>7.46041375E11</v>
      </c>
      <c r="I18" s="23" t="n">
        <f>0.46</f>
        <v>0.46</v>
      </c>
    </row>
    <row r="19" spans="1:9" ht="24.9" customHeight="1">
      <c r="A19" s="41"/>
      <c r="B19" s="39"/>
      <c r="C19" s="24" t="s">
        <v>18</v>
      </c>
      <c r="D19" s="25" t="n">
        <f>58230.0</f>
        <v>58230.0</v>
      </c>
      <c r="E19" s="26" t="n">
        <f>12088.0</f>
        <v>12088.0</v>
      </c>
      <c r="F19" s="27" t="n">
        <f>0.037</f>
        <v>0.037</v>
      </c>
      <c r="G19" s="25" t="n">
        <f>6158672275500.0</f>
        <v>6.1586722755E12</v>
      </c>
      <c r="H19" s="26" t="n">
        <f>1107703565000.0</f>
        <v>1.107703565E12</v>
      </c>
      <c r="I19" s="27" t="n">
        <f>0.407</f>
        <v>0.407</v>
      </c>
    </row>
    <row r="20" spans="1:9" ht="24.9" customHeight="1">
      <c r="A20" s="41"/>
      <c r="B20" s="39" t="s">
        <v>21</v>
      </c>
      <c r="C20" s="16" t="s">
        <v>15</v>
      </c>
      <c r="D20" s="17" t="n">
        <f>750563.0</f>
        <v>750563.0</v>
      </c>
      <c r="E20" s="18" t="n">
        <f>36800.0</f>
        <v>36800.0</v>
      </c>
      <c r="F20" s="19" t="n">
        <f>0.947</f>
        <v>0.947</v>
      </c>
      <c r="G20" s="17" t="n">
        <f>3339226682450.0</f>
        <v>3.33922668245E12</v>
      </c>
      <c r="H20" s="18" t="n">
        <f>279093491100.0</f>
        <v>2.790934911E11</v>
      </c>
      <c r="I20" s="19" t="n">
        <f>0.554</f>
        <v>0.554</v>
      </c>
    </row>
    <row r="21" spans="1:9" ht="24.9" customHeight="1">
      <c r="A21" s="41"/>
      <c r="B21" s="39"/>
      <c r="C21" s="20" t="s">
        <v>16</v>
      </c>
      <c r="D21" s="21" t="n">
        <f>410927.0</f>
        <v>410927.0</v>
      </c>
      <c r="E21" s="22" t="n">
        <f>19664.0</f>
        <v>19664.0</v>
      </c>
      <c r="F21" s="23" t="n">
        <f>0.954</f>
        <v>0.954</v>
      </c>
      <c r="G21" s="21" t="n">
        <f>2542900755204.0</f>
        <v>2.542900755204E12</v>
      </c>
      <c r="H21" s="22" t="n">
        <f>235409895204.0</f>
        <v>2.35409895204E11</v>
      </c>
      <c r="I21" s="23" t="n">
        <f>0.655</f>
        <v>0.655</v>
      </c>
    </row>
    <row r="22" spans="1:9" ht="24.9" customHeight="1">
      <c r="A22" s="41"/>
      <c r="B22" s="39"/>
      <c r="C22" s="20" t="s">
        <v>17</v>
      </c>
      <c r="D22" s="21" t="n">
        <f>328139.0</f>
        <v>328139.0</v>
      </c>
      <c r="E22" s="22" t="n">
        <f>27216.0</f>
        <v>27216.0</v>
      </c>
      <c r="F22" s="23" t="n">
        <f>0.909</f>
        <v>0.909</v>
      </c>
      <c r="G22" s="21" t="n">
        <f>2766592947410.0</f>
        <v>2.76659294741E12</v>
      </c>
      <c r="H22" s="22" t="n">
        <f>509183897060.0</f>
        <v>5.0918389706E11</v>
      </c>
      <c r="I22" s="23" t="n">
        <f>0.529</f>
        <v>0.529</v>
      </c>
    </row>
    <row r="23" spans="1:9" ht="24.9" customHeight="1">
      <c r="A23" s="41"/>
      <c r="B23" s="39"/>
      <c r="C23" s="24" t="s">
        <v>18</v>
      </c>
      <c r="D23" s="25" t="n">
        <f>1489629.0</f>
        <v>1489629.0</v>
      </c>
      <c r="E23" s="26" t="n">
        <f>83680.0</f>
        <v>83680.0</v>
      </c>
      <c r="F23" s="27" t="n">
        <f>0.94</f>
        <v>0.94</v>
      </c>
      <c r="G23" s="25" t="n">
        <f>8648720385064.0</f>
        <v>8.648720385064E12</v>
      </c>
      <c r="H23" s="26" t="n">
        <f>1023687283364.0</f>
        <v>1.023687283364E12</v>
      </c>
      <c r="I23" s="27" t="n">
        <f>0.571</f>
        <v>0.571</v>
      </c>
    </row>
    <row r="24" spans="1:9" ht="24.9" customHeight="1">
      <c r="A24" s="41"/>
      <c r="B24" s="39" t="s">
        <v>22</v>
      </c>
      <c r="C24" s="16" t="s">
        <v>15</v>
      </c>
      <c r="D24" s="17" t="n">
        <f>21149.0</f>
        <v>21149.0</v>
      </c>
      <c r="E24" s="18" t="n">
        <f>0.0</f>
        <v>0.0</v>
      </c>
      <c r="F24" s="19" t="n">
        <f>0.027</f>
        <v>0.027</v>
      </c>
      <c r="G24" s="17" t="n">
        <f>211493452800.0</f>
        <v>2.114934528E11</v>
      </c>
      <c r="H24" s="18" t="n">
        <f>0.0</f>
        <v>0.0</v>
      </c>
      <c r="I24" s="19" t="n">
        <f>0.035</f>
        <v>0.035</v>
      </c>
    </row>
    <row r="25" spans="1:9" ht="24.9" customHeight="1">
      <c r="A25" s="41"/>
      <c r="B25" s="39"/>
      <c r="C25" s="20" t="s">
        <v>16</v>
      </c>
      <c r="D25" s="21" t="n">
        <f>7083.0</f>
        <v>7083.0</v>
      </c>
      <c r="E25" s="22" t="n">
        <f>0.0</f>
        <v>0.0</v>
      </c>
      <c r="F25" s="23" t="n">
        <f>0.016</f>
        <v>0.016</v>
      </c>
      <c r="G25" s="21" t="n">
        <f>66387372550.0</f>
        <v>6.638737255E10</v>
      </c>
      <c r="H25" s="22" t="n">
        <f>0.0</f>
        <v>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6002.0</f>
        <v>6002.0</v>
      </c>
      <c r="E26" s="22" t="n">
        <f>16.0</f>
        <v>16.0</v>
      </c>
      <c r="F26" s="23" t="n">
        <f>0.017</f>
        <v>0.017</v>
      </c>
      <c r="G26" s="21" t="n">
        <f>51831157100.0</f>
        <v>5.18311571E10</v>
      </c>
      <c r="H26" s="22" t="n">
        <f>35260000.0</f>
        <v>3.526E7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34234.0</f>
        <v>34234.0</v>
      </c>
      <c r="E27" s="26" t="n">
        <f>16.0</f>
        <v>16.0</v>
      </c>
      <c r="F27" s="27" t="n">
        <f>0.022</f>
        <v>0.022</v>
      </c>
      <c r="G27" s="25" t="n">
        <f>329711982450.0</f>
        <v>3.2971198245E11</v>
      </c>
      <c r="H27" s="26" t="n">
        <f>35260000.0</f>
        <v>3.526E7</v>
      </c>
      <c r="I27" s="27" t="n">
        <f>0.022</f>
        <v>0.022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396.0</f>
        <v>396.0</v>
      </c>
      <c r="E28" s="18" t="n">
        <f>0.0</f>
        <v>0.0</v>
      </c>
      <c r="F28" s="19" t="n">
        <f>0.0</f>
        <v>0.0</v>
      </c>
      <c r="G28" s="17" t="n">
        <f>1622775000.0</f>
        <v>1.622775E9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288.0</f>
        <v>288.0</v>
      </c>
      <c r="E29" s="22" t="n">
        <f>15.0</f>
        <v>15.0</v>
      </c>
      <c r="F29" s="23" t="n">
        <f>0.001</f>
        <v>0.001</v>
      </c>
      <c r="G29" s="21" t="n">
        <f>1197035500.0</f>
        <v>1.1970355E9</v>
      </c>
      <c r="H29" s="22" t="n">
        <f>62925000.0</f>
        <v>6.2925E7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1293.0</f>
        <v>1293.0</v>
      </c>
      <c r="E30" s="22" t="n">
        <f>0.0</f>
        <v>0.0</v>
      </c>
      <c r="F30" s="23" t="n">
        <f>0.004</f>
        <v>0.004</v>
      </c>
      <c r="G30" s="21" t="n">
        <f>5402904500.0</f>
        <v>5.4029045E9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1977.0</f>
        <v>1977.0</v>
      </c>
      <c r="E31" s="26" t="n">
        <f>15.0</f>
        <v>15.0</v>
      </c>
      <c r="F31" s="27" t="n">
        <f>0.001</f>
        <v>0.001</v>
      </c>
      <c r="G31" s="25" t="n">
        <f>8222715000.0</f>
        <v>8.222715E9</v>
      </c>
      <c r="H31" s="26" t="n">
        <f>62925000.0</f>
        <v>6.2925E7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46279.0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46279.0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29362</f>
        <v>29362.0</v>
      </c>
      <c r="E11" s="18" t="n">
        <f>5362</f>
        <v>5362.0</v>
      </c>
      <c r="F11" s="19" t="n">
        <f>1</f>
        <v>1.0</v>
      </c>
      <c r="G11" s="17" t="n">
        <f>6740190590</f>
        <v>6.74019059E9</v>
      </c>
      <c r="H11" s="18" t="n">
        <f>2917265290</f>
        <v>2.91726529E9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30909</f>
        <v>30909.0</v>
      </c>
      <c r="E12" s="22" t="n">
        <f>6490</f>
        <v>6490.0</v>
      </c>
      <c r="F12" s="23" t="n">
        <f>1</f>
        <v>1.0</v>
      </c>
      <c r="G12" s="21" t="n">
        <f>7939364753</f>
        <v>7.939364753E9</v>
      </c>
      <c r="H12" s="22" t="n">
        <f>5885001334</f>
        <v>5.885001334E9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34957</f>
        <v>34957.0</v>
      </c>
      <c r="E13" s="22" t="n">
        <f>11656</f>
        <v>11656.0</v>
      </c>
      <c r="F13" s="23" t="n">
        <f>1</f>
        <v>1.0</v>
      </c>
      <c r="G13" s="21" t="n">
        <f>11405866861</f>
        <v>1.1405866861E10</v>
      </c>
      <c r="H13" s="22" t="n">
        <f>8507344110</f>
        <v>8.50734411E9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95228</f>
        <v>95228.0</v>
      </c>
      <c r="E14" s="26" t="n">
        <f>23508</f>
        <v>23508.0</v>
      </c>
      <c r="F14" s="27" t="n">
        <f>1</f>
        <v>1.0</v>
      </c>
      <c r="G14" s="25" t="n">
        <f>26085422204</f>
        <v>2.6085422204E10</v>
      </c>
      <c r="H14" s="26" t="n">
        <f>17309610734</f>
        <v>1.7309610734E10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47</f>
        <v>47.0</v>
      </c>
      <c r="E15" s="18" t="n">
        <f>0</f>
        <v>0.0</v>
      </c>
      <c r="F15" s="19" t="n">
        <f>0.002</f>
        <v>0.002</v>
      </c>
      <c r="G15" s="17" t="n">
        <f>8480000</f>
        <v>8480000.0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15</f>
        <v>15.0</v>
      </c>
      <c r="E16" s="22" t="n">
        <f>0</f>
        <v>0.0</v>
      </c>
      <c r="F16" s="23" t="n">
        <f>0</f>
        <v>0.0</v>
      </c>
      <c r="G16" s="21" t="n">
        <f>450000</f>
        <v>450000.0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127</f>
        <v>127.0</v>
      </c>
      <c r="E17" s="22" t="n">
        <f>0</f>
        <v>0.0</v>
      </c>
      <c r="F17" s="23" t="n">
        <f>0.004</f>
        <v>0.004</v>
      </c>
      <c r="G17" s="21" t="n">
        <f>5310000</f>
        <v>5310000.0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189</f>
        <v>189.0</v>
      </c>
      <c r="E18" s="26" t="n">
        <f>0</f>
        <v>0.0</v>
      </c>
      <c r="F18" s="27" t="n">
        <f>0.002</f>
        <v>0.002</v>
      </c>
      <c r="G18" s="25" t="n">
        <f>14240000</f>
        <v>1.424E7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29315</f>
        <v>29315.0</v>
      </c>
      <c r="E19" s="18" t="n">
        <f>5362</f>
        <v>5362.0</v>
      </c>
      <c r="F19" s="19" t="n">
        <f>0.998</f>
        <v>0.998</v>
      </c>
      <c r="G19" s="17" t="n">
        <f>6731710590</f>
        <v>6.73171059E9</v>
      </c>
      <c r="H19" s="18" t="n">
        <f>2917265290</f>
        <v>2.91726529E9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24321</f>
        <v>24321.0</v>
      </c>
      <c r="E20" s="22" t="n">
        <f>6040</f>
        <v>6040.0</v>
      </c>
      <c r="F20" s="23" t="n">
        <f>0.787</f>
        <v>0.787</v>
      </c>
      <c r="G20" s="21" t="n">
        <f>7916148234</f>
        <v>7.916148234E9</v>
      </c>
      <c r="H20" s="22" t="n">
        <f>5877711334</f>
        <v>5.877711334E9</v>
      </c>
      <c r="I20" s="23" t="n">
        <f>0.997</f>
        <v>0.997</v>
      </c>
    </row>
    <row r="21" spans="1:9" ht="24.9" customHeight="1">
      <c r="A21" s="41"/>
      <c r="B21" s="39"/>
      <c r="C21" s="20" t="s">
        <v>17</v>
      </c>
      <c r="D21" s="21" t="n">
        <f>28504</f>
        <v>28504.0</v>
      </c>
      <c r="E21" s="22" t="n">
        <f>9656</f>
        <v>9656.0</v>
      </c>
      <c r="F21" s="23" t="n">
        <f>0.815</f>
        <v>0.815</v>
      </c>
      <c r="G21" s="21" t="n">
        <f>11336842710</f>
        <v>1.133684271E10</v>
      </c>
      <c r="H21" s="22" t="n">
        <f>8472744110</f>
        <v>8.47274411E9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82140</f>
        <v>82140.0</v>
      </c>
      <c r="E22" s="26" t="n">
        <f>21058</f>
        <v>21058.0</v>
      </c>
      <c r="F22" s="27" t="n">
        <f>0.863</f>
        <v>0.863</v>
      </c>
      <c r="G22" s="25" t="n">
        <f>25984701534</f>
        <v>2.5984701534E10</v>
      </c>
      <c r="H22" s="26" t="n">
        <f>17267720734</f>
        <v>1.7267720734E10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6573</f>
        <v>6573.0</v>
      </c>
      <c r="E24" s="22" t="n">
        <f>450</f>
        <v>450.0</v>
      </c>
      <c r="F24" s="23" t="n">
        <f>0.213</f>
        <v>0.213</v>
      </c>
      <c r="G24" s="21" t="n">
        <f>22766519</f>
        <v>2.2766519E7</v>
      </c>
      <c r="H24" s="22" t="n">
        <f>7290000</f>
        <v>7290000.0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6326</f>
        <v>6326.0</v>
      </c>
      <c r="E25" s="22" t="n">
        <f>2000</f>
        <v>2000.0</v>
      </c>
      <c r="F25" s="23" t="n">
        <f>0.181</f>
        <v>0.181</v>
      </c>
      <c r="G25" s="21" t="n">
        <f>63714151</f>
        <v>6.3714151E7</v>
      </c>
      <c r="H25" s="22" t="n">
        <f>34600000</f>
        <v>3.46E7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12899</f>
        <v>12899.0</v>
      </c>
      <c r="E26" s="26" t="n">
        <f>2450</f>
        <v>2450.0</v>
      </c>
      <c r="F26" s="27" t="n">
        <f>0.135</f>
        <v>0.135</v>
      </c>
      <c r="G26" s="25" t="n">
        <f>86480670</f>
        <v>8.648067E7</v>
      </c>
      <c r="H26" s="26" t="n">
        <f>41890000</f>
        <v>4.189E7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46279.0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46279.0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10229.0</v>
      </c>
      <c r="F12" s="18" t="n">
        <f>743</f>
        <v>743.0</v>
      </c>
      <c r="G12" s="17" t="n">
        <v>6.5805082014E11</v>
      </c>
      <c r="H12" s="18" t="n">
        <f>47722130140</f>
        <v>4.772213014E10</v>
      </c>
    </row>
    <row r="13" spans="1:8" ht="24.9" customHeight="1">
      <c r="A13" s="51"/>
      <c r="B13" s="57"/>
      <c r="C13" s="39"/>
      <c r="D13" s="20" t="s">
        <v>16</v>
      </c>
      <c r="E13" s="21" t="n">
        <v>11413.0</v>
      </c>
      <c r="F13" s="22" t="n">
        <f>1847</f>
        <v>1847.0</v>
      </c>
      <c r="G13" s="21" t="n">
        <v>7.172504396E11</v>
      </c>
      <c r="H13" s="22" t="n">
        <f>116145439600</f>
        <v>1.161454396E11</v>
      </c>
    </row>
    <row r="14" spans="1:8" ht="24.9" customHeight="1">
      <c r="A14" s="51"/>
      <c r="B14" s="57"/>
      <c r="C14" s="39"/>
      <c r="D14" s="20" t="s">
        <v>17</v>
      </c>
      <c r="E14" s="21" t="n">
        <v>14029.0</v>
      </c>
      <c r="F14" s="22" t="n">
        <f>3595</f>
        <v>3595.0</v>
      </c>
      <c r="G14" s="21" t="n">
        <v>8.8807047636E11</v>
      </c>
      <c r="H14" s="22" t="n">
        <f>227488446360</f>
        <v>2.2748844636E11</v>
      </c>
    </row>
    <row r="15" spans="1:8" ht="24.9" customHeight="1">
      <c r="A15" s="51"/>
      <c r="B15" s="57"/>
      <c r="C15" s="39"/>
      <c r="D15" s="24" t="s">
        <v>18</v>
      </c>
      <c r="E15" s="25" t="n">
        <v>35671.0</v>
      </c>
      <c r="F15" s="26" t="n">
        <f>6185</f>
        <v>6185.0</v>
      </c>
      <c r="G15" s="25" t="n">
        <v>2.2633717361E12</v>
      </c>
      <c r="H15" s="26" t="n">
        <f>391356016100</f>
        <v>3.913560161E11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271091.0</v>
      </c>
      <c r="F16" s="18" t="n">
        <f>35419</f>
        <v>35419.0</v>
      </c>
      <c r="G16" s="17" t="n">
        <v>1.74426288846E12</v>
      </c>
      <c r="H16" s="18" t="n">
        <f>227869917460</f>
        <v>2.2786991746E11</v>
      </c>
    </row>
    <row r="17" spans="1:8" ht="24.9" customHeight="1">
      <c r="A17" s="51"/>
      <c r="B17" s="57"/>
      <c r="C17" s="39"/>
      <c r="D17" s="20" t="s">
        <v>16</v>
      </c>
      <c r="E17" s="21" t="n">
        <v>172849.0</v>
      </c>
      <c r="F17" s="22" t="n">
        <f>17239</f>
        <v>17239.0</v>
      </c>
      <c r="G17" s="21" t="n">
        <v>1.08591223096E12</v>
      </c>
      <c r="H17" s="22" t="n">
        <f>108305800460</f>
        <v>1.0830580046E11</v>
      </c>
    </row>
    <row r="18" spans="1:8" ht="24.9" customHeight="1">
      <c r="A18" s="51"/>
      <c r="B18" s="57"/>
      <c r="C18" s="39"/>
      <c r="D18" s="20" t="s">
        <v>17</v>
      </c>
      <c r="E18" s="21" t="n">
        <v>137471.0</v>
      </c>
      <c r="F18" s="22" t="n">
        <f>18961</f>
        <v>18961.0</v>
      </c>
      <c r="G18" s="21" t="n">
        <v>8.6990010955E11</v>
      </c>
      <c r="H18" s="22" t="n">
        <f>119851430050</f>
        <v>1.1985143005E11</v>
      </c>
    </row>
    <row r="19" spans="1:8" ht="24.9" customHeight="1">
      <c r="A19" s="51"/>
      <c r="B19" s="57"/>
      <c r="C19" s="39"/>
      <c r="D19" s="24" t="s">
        <v>18</v>
      </c>
      <c r="E19" s="25" t="n">
        <v>581411.0</v>
      </c>
      <c r="F19" s="26" t="n">
        <f>71619</f>
        <v>71619.0</v>
      </c>
      <c r="G19" s="25" t="n">
        <v>3.70007522897E12</v>
      </c>
      <c r="H19" s="26" t="n">
        <f>456027147970</f>
        <v>4.5602714797E11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444882.0</v>
      </c>
      <c r="F20" s="18" t="str">
        <f>"－"</f>
        <v>－</v>
      </c>
      <c r="G20" s="17" t="n">
        <v>2.8626054245E11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203435.0</v>
      </c>
      <c r="F21" s="22" t="str">
        <f>"－"</f>
        <v>－</v>
      </c>
      <c r="G21" s="21" t="n">
        <v>1.2781008165E11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145488.0</v>
      </c>
      <c r="F22" s="22" t="str">
        <f>"－"</f>
        <v>－</v>
      </c>
      <c r="G22" s="21" t="n">
        <v>9.205689205E10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793805.0</v>
      </c>
      <c r="F23" s="26" t="str">
        <f>"－"</f>
        <v>－</v>
      </c>
      <c r="G23" s="25" t="n">
        <v>5.0612751615E11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15294.0</v>
      </c>
      <c r="F24" s="18" t="n">
        <f>28</f>
        <v>28.0</v>
      </c>
      <c r="G24" s="17" t="n">
        <v>6.171204685E11</v>
      </c>
      <c r="H24" s="18" t="n">
        <f>1125883500</f>
        <v>1.1258835E9</v>
      </c>
    </row>
    <row r="25" spans="1:8" ht="24.9" customHeight="1">
      <c r="A25" s="51"/>
      <c r="B25" s="57"/>
      <c r="C25" s="39"/>
      <c r="D25" s="20" t="s">
        <v>16</v>
      </c>
      <c r="E25" s="21" t="n">
        <v>14490.0</v>
      </c>
      <c r="F25" s="22" t="n">
        <f>240</f>
        <v>240.0</v>
      </c>
      <c r="G25" s="21" t="n">
        <v>5.805795785E11</v>
      </c>
      <c r="H25" s="22" t="n">
        <f>9624103500</f>
        <v>9.6241035E9</v>
      </c>
    </row>
    <row r="26" spans="1:8" ht="24.9" customHeight="1">
      <c r="A26" s="51"/>
      <c r="B26" s="57"/>
      <c r="C26" s="39"/>
      <c r="D26" s="20" t="s">
        <v>17</v>
      </c>
      <c r="E26" s="21" t="n">
        <v>21922.0</v>
      </c>
      <c r="F26" s="22" t="n">
        <f>3963</f>
        <v>3963.0</v>
      </c>
      <c r="G26" s="21" t="n">
        <v>8.8403997808E11</v>
      </c>
      <c r="H26" s="22" t="n">
        <f>159875648080</f>
        <v>1.5987564808E11</v>
      </c>
    </row>
    <row r="27" spans="1:8" ht="24.9" customHeight="1">
      <c r="A27" s="51"/>
      <c r="B27" s="57"/>
      <c r="C27" s="39"/>
      <c r="D27" s="24" t="s">
        <v>18</v>
      </c>
      <c r="E27" s="25" t="n">
        <v>51706.0</v>
      </c>
      <c r="F27" s="26" t="n">
        <f>4231</f>
        <v>4231.0</v>
      </c>
      <c r="G27" s="25" t="n">
        <v>2.08174002508E12</v>
      </c>
      <c r="H27" s="26" t="n">
        <f>170625635080</f>
        <v>1.7062563508E11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7208.0</v>
      </c>
      <c r="F28" s="18" t="n">
        <f>570</f>
        <v>570.0</v>
      </c>
      <c r="G28" s="17" t="n">
        <v>2.90722322E10</v>
      </c>
      <c r="H28" s="18" t="n">
        <f>2298316700</f>
        <v>2.2983167E9</v>
      </c>
    </row>
    <row r="29" spans="1:8" ht="24.9" customHeight="1">
      <c r="A29" s="51"/>
      <c r="B29" s="57"/>
      <c r="C29" s="39"/>
      <c r="D29" s="20" t="s">
        <v>16</v>
      </c>
      <c r="E29" s="21" t="n">
        <v>6722.0</v>
      </c>
      <c r="F29" s="22" t="n">
        <f>295</f>
        <v>295.0</v>
      </c>
      <c r="G29" s="21" t="n">
        <v>2.692243895E10</v>
      </c>
      <c r="H29" s="22" t="n">
        <f>1181680700</f>
        <v>1.1816807E9</v>
      </c>
    </row>
    <row r="30" spans="1:8" ht="24.9" customHeight="1">
      <c r="A30" s="51"/>
      <c r="B30" s="57"/>
      <c r="C30" s="39"/>
      <c r="D30" s="20" t="s">
        <v>17</v>
      </c>
      <c r="E30" s="21" t="n">
        <v>6835.0</v>
      </c>
      <c r="F30" s="22" t="n">
        <f>204</f>
        <v>204.0</v>
      </c>
      <c r="G30" s="21" t="n">
        <v>2.75598129E10</v>
      </c>
      <c r="H30" s="22" t="n">
        <f>822188400</f>
        <v>8.221884E8</v>
      </c>
    </row>
    <row r="31" spans="1:8" ht="24.9" customHeight="1">
      <c r="A31" s="51"/>
      <c r="B31" s="57"/>
      <c r="C31" s="39"/>
      <c r="D31" s="24" t="s">
        <v>18</v>
      </c>
      <c r="E31" s="25" t="n">
        <v>20765.0</v>
      </c>
      <c r="F31" s="26" t="n">
        <f>1069</f>
        <v>1069.0</v>
      </c>
      <c r="G31" s="25" t="n">
        <v>8.355448405E10</v>
      </c>
      <c r="H31" s="26" t="n">
        <f>4302185800</f>
        <v>4.3021858E9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754.0</v>
      </c>
      <c r="F36" s="18" t="n">
        <f>0</f>
        <v>0.0</v>
      </c>
      <c r="G36" s="17" t="n">
        <v>2.731744E9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755.0</v>
      </c>
      <c r="F37" s="22" t="n">
        <f>18</f>
        <v>18.0</v>
      </c>
      <c r="G37" s="21" t="n">
        <v>2.718641044E9</v>
      </c>
      <c r="H37" s="22" t="n">
        <f>64792044</f>
        <v>6.4792044E7</v>
      </c>
    </row>
    <row r="38" spans="1:8" ht="24.9" customHeight="1">
      <c r="A38" s="51"/>
      <c r="B38" s="57"/>
      <c r="C38" s="39"/>
      <c r="D38" s="20" t="s">
        <v>17</v>
      </c>
      <c r="E38" s="21" t="n">
        <v>722.0</v>
      </c>
      <c r="F38" s="22" t="n">
        <f>9</f>
        <v>9.0</v>
      </c>
      <c r="G38" s="21" t="n">
        <v>2.6175295E9</v>
      </c>
      <c r="H38" s="22" t="n">
        <f>32605000</f>
        <v>3.2605E7</v>
      </c>
    </row>
    <row r="39" spans="1:8" ht="24.9" customHeight="1">
      <c r="A39" s="51"/>
      <c r="B39" s="57"/>
      <c r="C39" s="39"/>
      <c r="D39" s="24" t="s">
        <v>18</v>
      </c>
      <c r="E39" s="25" t="n">
        <v>2231.0</v>
      </c>
      <c r="F39" s="26" t="n">
        <f>27</f>
        <v>27.0</v>
      </c>
      <c r="G39" s="25" t="n">
        <v>8.067914544E9</v>
      </c>
      <c r="H39" s="26" t="n">
        <f>97397044</f>
        <v>9.7397044E7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10.0</v>
      </c>
      <c r="F45" s="22" t="n">
        <f>10</f>
        <v>10.0</v>
      </c>
      <c r="G45" s="21" t="n">
        <v>7.68E7</v>
      </c>
      <c r="H45" s="22" t="n">
        <f>76800000</f>
        <v>7.68E7</v>
      </c>
    </row>
    <row r="46" spans="1:8" ht="24.9" customHeight="1">
      <c r="A46" s="51"/>
      <c r="B46" s="57"/>
      <c r="C46" s="39"/>
      <c r="D46" s="20" t="s">
        <v>17</v>
      </c>
      <c r="E46" s="21" t="n">
        <v>52.0</v>
      </c>
      <c r="F46" s="22" t="n">
        <f>52</f>
        <v>52.0</v>
      </c>
      <c r="G46" s="21" t="n">
        <v>4.008654E8</v>
      </c>
      <c r="H46" s="22" t="n">
        <f>400865400</f>
        <v>4.008654E8</v>
      </c>
    </row>
    <row r="47" spans="1:8" ht="24.9" customHeight="1">
      <c r="A47" s="51"/>
      <c r="B47" s="57"/>
      <c r="C47" s="39"/>
      <c r="D47" s="24" t="s">
        <v>18</v>
      </c>
      <c r="E47" s="25" t="n">
        <v>62.0</v>
      </c>
      <c r="F47" s="26" t="n">
        <f>62</f>
        <v>62.0</v>
      </c>
      <c r="G47" s="25" t="n">
        <v>4.776654E8</v>
      </c>
      <c r="H47" s="26" t="n">
        <f>477665400</f>
        <v>4.776654E8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41.0</v>
      </c>
      <c r="F48" s="18" t="n">
        <f>2</f>
        <v>2.0</v>
      </c>
      <c r="G48" s="17" t="n">
        <v>7.1215E7</v>
      </c>
      <c r="H48" s="18" t="n">
        <f>3472000</f>
        <v>3472000.0</v>
      </c>
    </row>
    <row r="49" spans="1:8" ht="24.9" customHeight="1">
      <c r="A49" s="51"/>
      <c r="B49" s="57"/>
      <c r="C49" s="39"/>
      <c r="D49" s="20" t="s">
        <v>16</v>
      </c>
      <c r="E49" s="21" t="n">
        <v>154.0</v>
      </c>
      <c r="F49" s="22" t="n">
        <f>0</f>
        <v>0.0</v>
      </c>
      <c r="G49" s="21" t="n">
        <v>2.68456E8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601.0</v>
      </c>
      <c r="F50" s="22" t="n">
        <f>390</f>
        <v>390.0</v>
      </c>
      <c r="G50" s="21" t="n">
        <v>1.04801021E9</v>
      </c>
      <c r="H50" s="22" t="n">
        <f>680056710</f>
        <v>6.8005671E8</v>
      </c>
    </row>
    <row r="51" spans="1:8" ht="24.9" customHeight="1">
      <c r="A51" s="51"/>
      <c r="B51" s="57"/>
      <c r="C51" s="39"/>
      <c r="D51" s="24" t="s">
        <v>18</v>
      </c>
      <c r="E51" s="25" t="n">
        <v>796.0</v>
      </c>
      <c r="F51" s="26" t="n">
        <f>392</f>
        <v>392.0</v>
      </c>
      <c r="G51" s="25" t="n">
        <v>1.38768121E9</v>
      </c>
      <c r="H51" s="26" t="n">
        <f>683528710</f>
        <v>6.8352871E8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796.0</v>
      </c>
      <c r="F56" s="18" t="n">
        <f>28</f>
        <v>28.0</v>
      </c>
      <c r="G56" s="17" t="n">
        <v>6.023241E8</v>
      </c>
      <c r="H56" s="18" t="n">
        <f>21248100</f>
        <v>2.12481E7</v>
      </c>
    </row>
    <row r="57" spans="1:8" ht="24.9" customHeight="1">
      <c r="A57" s="51"/>
      <c r="B57" s="57"/>
      <c r="C57" s="39"/>
      <c r="D57" s="20" t="s">
        <v>16</v>
      </c>
      <c r="E57" s="21" t="n">
        <v>966.0</v>
      </c>
      <c r="F57" s="22" t="n">
        <f>15</f>
        <v>15.0</v>
      </c>
      <c r="G57" s="21" t="n">
        <v>7.263029E8</v>
      </c>
      <c r="H57" s="22" t="n">
        <f>11278900</f>
        <v>1.12789E7</v>
      </c>
    </row>
    <row r="58" spans="1:8" ht="24.9" customHeight="1">
      <c r="A58" s="51"/>
      <c r="B58" s="57"/>
      <c r="C58" s="39"/>
      <c r="D58" s="20" t="s">
        <v>17</v>
      </c>
      <c r="E58" s="21" t="n">
        <v>932.0</v>
      </c>
      <c r="F58" s="22" t="n">
        <f>42</f>
        <v>42.0</v>
      </c>
      <c r="G58" s="21" t="n">
        <v>7.1310106E8</v>
      </c>
      <c r="H58" s="22" t="n">
        <f>32657060</f>
        <v>3.265706E7</v>
      </c>
    </row>
    <row r="59" spans="1:8" ht="24.9" customHeight="1">
      <c r="A59" s="51"/>
      <c r="B59" s="57"/>
      <c r="C59" s="39"/>
      <c r="D59" s="24" t="s">
        <v>18</v>
      </c>
      <c r="E59" s="25" t="n">
        <v>2694.0</v>
      </c>
      <c r="F59" s="26" t="n">
        <f>85</f>
        <v>85.0</v>
      </c>
      <c r="G59" s="25" t="n">
        <v>2.04172806E9</v>
      </c>
      <c r="H59" s="26" t="n">
        <f>65184060</f>
        <v>6.518406E7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173.0</v>
      </c>
      <c r="F60" s="18" t="n">
        <f>10</f>
        <v>10.0</v>
      </c>
      <c r="G60" s="17" t="n">
        <v>9.092665E8</v>
      </c>
      <c r="H60" s="18" t="n">
        <f>52523200</f>
        <v>5.25232E7</v>
      </c>
    </row>
    <row r="61" spans="1:8" ht="24.9" customHeight="1">
      <c r="A61" s="51"/>
      <c r="B61" s="57"/>
      <c r="C61" s="39"/>
      <c r="D61" s="20" t="s">
        <v>16</v>
      </c>
      <c r="E61" s="21" t="n">
        <v>116.0</v>
      </c>
      <c r="F61" s="22" t="n">
        <f>0</f>
        <v>0.0</v>
      </c>
      <c r="G61" s="21" t="n">
        <v>6.122294E8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18.0</v>
      </c>
      <c r="F62" s="22" t="n">
        <f>0</f>
        <v>0.0</v>
      </c>
      <c r="G62" s="21" t="n">
        <v>9.4948E7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307.0</v>
      </c>
      <c r="F63" s="26" t="n">
        <f>10</f>
        <v>10.0</v>
      </c>
      <c r="G63" s="25" t="n">
        <v>1.6164439E9</v>
      </c>
      <c r="H63" s="26" t="n">
        <f>52523200</f>
        <v>5.25232E7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682000.0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12.0</v>
      </c>
      <c r="F78" s="22" t="n">
        <f>0</f>
        <v>0.0</v>
      </c>
      <c r="G78" s="21" t="n">
        <v>4059500.0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14.0</v>
      </c>
      <c r="F79" s="26" t="n">
        <f>0</f>
        <v>0.0</v>
      </c>
      <c r="G79" s="25" t="n">
        <v>4741500.0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95.0</v>
      </c>
      <c r="F92" s="18" t="n">
        <f>0</f>
        <v>0.0</v>
      </c>
      <c r="G92" s="17" t="n">
        <v>1.451811E8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15.0</v>
      </c>
      <c r="F93" s="22" t="n">
        <f>0</f>
        <v>0.0</v>
      </c>
      <c r="G93" s="21" t="n">
        <v>2.28742E7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57.0</v>
      </c>
      <c r="F94" s="22" t="n">
        <f>0</f>
        <v>0.0</v>
      </c>
      <c r="G94" s="21" t="n">
        <v>8.71648E7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167.0</v>
      </c>
      <c r="F95" s="26" t="n">
        <f>0</f>
        <v>0.0</v>
      </c>
      <c r="G95" s="25" t="n">
        <v>2.552201E8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19643.0</v>
      </c>
      <c r="F108" s="18" t="n">
        <f>2069</f>
        <v>2069.0</v>
      </c>
      <c r="G108" s="17" t="n">
        <v>2.46178058E12</v>
      </c>
      <c r="H108" s="18" t="n">
        <f>260143570000</f>
        <v>2.6014357E11</v>
      </c>
    </row>
    <row r="109" spans="1:8" ht="24.9" customHeight="1">
      <c r="A109" s="51"/>
      <c r="B109" s="57"/>
      <c r="C109" s="39"/>
      <c r="D109" s="20" t="s">
        <v>16</v>
      </c>
      <c r="E109" s="21" t="n">
        <v>9856.0</v>
      </c>
      <c r="F109" s="22" t="n">
        <f>810</f>
        <v>810.0</v>
      </c>
      <c r="G109" s="21" t="n">
        <v>1.23455833E12</v>
      </c>
      <c r="H109" s="22" t="n">
        <f>101518620000</f>
        <v>1.0151862E11</v>
      </c>
    </row>
    <row r="110" spans="1:8" ht="24.9" customHeight="1">
      <c r="A110" s="51"/>
      <c r="B110" s="57"/>
      <c r="C110" s="39"/>
      <c r="D110" s="20" t="s">
        <v>17</v>
      </c>
      <c r="E110" s="21" t="n">
        <v>18584.0</v>
      </c>
      <c r="F110" s="22" t="n">
        <f>5689</f>
        <v>5689.0</v>
      </c>
      <c r="G110" s="21" t="n">
        <v>2.330647155E12</v>
      </c>
      <c r="H110" s="22" t="n">
        <f>714532475000</f>
        <v>7.14532475E11</v>
      </c>
    </row>
    <row r="111" spans="1:8" ht="24.9" customHeight="1">
      <c r="A111" s="51"/>
      <c r="B111" s="57"/>
      <c r="C111" s="39"/>
      <c r="D111" s="24" t="s">
        <v>18</v>
      </c>
      <c r="E111" s="25" t="n">
        <v>48083.0</v>
      </c>
      <c r="F111" s="26" t="n">
        <f>8568</f>
        <v>8568.0</v>
      </c>
      <c r="G111" s="25" t="n">
        <v>6.026986065E12</v>
      </c>
      <c r="H111" s="26" t="n">
        <f>1076194665000</f>
        <v>1.076194665E12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1483.0</v>
      </c>
      <c r="F113" s="22" t="n">
        <f>0</f>
        <v>0.0</v>
      </c>
      <c r="G113" s="21" t="n">
        <v>1.8568508E10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1470.0</v>
      </c>
      <c r="F114" s="22" t="n">
        <f>0</f>
        <v>0.0</v>
      </c>
      <c r="G114" s="21" t="n">
        <v>1.840824E10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2953.0</v>
      </c>
      <c r="F115" s="26" t="n">
        <f>0</f>
        <v>0.0</v>
      </c>
      <c r="G115" s="25" t="n">
        <v>3.6976748E10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400.0</v>
      </c>
      <c r="F117" s="22" t="n">
        <f>0</f>
        <v>0.0</v>
      </c>
      <c r="G117" s="21" t="n">
        <v>3.5688E9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4859.0</v>
      </c>
      <c r="F118" s="22" t="n">
        <f>3520</f>
        <v>3520.0</v>
      </c>
      <c r="G118" s="21" t="n">
        <v>4.345589E10</v>
      </c>
      <c r="H118" s="22" t="n">
        <f>31508900000</f>
        <v>3.15089E10</v>
      </c>
    </row>
    <row r="119" spans="1:8" ht="24.9" customHeight="1">
      <c r="A119" s="51"/>
      <c r="B119" s="58"/>
      <c r="C119" s="39"/>
      <c r="D119" s="24" t="s">
        <v>18</v>
      </c>
      <c r="E119" s="25" t="n">
        <v>5259.0</v>
      </c>
      <c r="F119" s="26" t="n">
        <f>3520</f>
        <v>3520.0</v>
      </c>
      <c r="G119" s="25" t="n">
        <v>4.702469E10</v>
      </c>
      <c r="H119" s="26" t="n">
        <f>31508900000</f>
        <v>3.15089E10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705.0</v>
      </c>
      <c r="F120" s="18" t="n">
        <f>0</f>
        <v>0.0</v>
      </c>
      <c r="G120" s="17" t="n">
        <v>1.7403076875E10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710.0</v>
      </c>
      <c r="F121" s="22" t="n">
        <f>0</f>
        <v>0.0</v>
      </c>
      <c r="G121" s="21" t="n">
        <v>1.747740875E10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520.0</v>
      </c>
      <c r="F122" s="22" t="n">
        <f>0</f>
        <v>0.0</v>
      </c>
      <c r="G122" s="21" t="n">
        <v>1.2804286875E10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1935.0</v>
      </c>
      <c r="F123" s="26" t="n">
        <f>0</f>
        <v>0.0</v>
      </c>
      <c r="G123" s="25" t="n">
        <v>4.76847725E10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8232.0</v>
      </c>
      <c r="F124" s="18" t="n">
        <f>0</f>
        <v>0.0</v>
      </c>
      <c r="G124" s="17" t="n">
        <v>1.82124244E11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2500.0</v>
      </c>
      <c r="F125" s="22" t="n">
        <f>0</f>
        <v>0.0</v>
      </c>
      <c r="G125" s="21" t="n">
        <v>5.4902829E10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1943.0</v>
      </c>
      <c r="F126" s="22" t="n">
        <f>0</f>
        <v>0.0</v>
      </c>
      <c r="G126" s="21" t="n">
        <v>4.2772315E10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12675.0</v>
      </c>
      <c r="F127" s="26" t="n">
        <f>0</f>
        <v>0.0</v>
      </c>
      <c r="G127" s="25" t="n">
        <v>2.79799388E11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139.0</v>
      </c>
      <c r="F128" s="18" t="n">
        <f>0</f>
        <v>0.0</v>
      </c>
      <c r="G128" s="17" t="n">
        <v>3.032928E8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319.0</v>
      </c>
      <c r="F129" s="22" t="n">
        <f>0</f>
        <v>0.0</v>
      </c>
      <c r="G129" s="21" t="n">
        <v>6.913905E8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258.0</v>
      </c>
      <c r="F130" s="22" t="n">
        <f>0</f>
        <v>0.0</v>
      </c>
      <c r="G130" s="21" t="n">
        <v>5.606586E8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716.0</v>
      </c>
      <c r="F131" s="26" t="n">
        <f>0</f>
        <v>0.0</v>
      </c>
      <c r="G131" s="25" t="n">
        <v>1.5553419E9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10934.0</v>
      </c>
      <c r="F132" s="18" t="n">
        <f>0</f>
        <v>0.0</v>
      </c>
      <c r="G132" s="17" t="n">
        <v>2.42545402E10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2709.0</v>
      </c>
      <c r="F133" s="22" t="n">
        <f>0</f>
        <v>0.0</v>
      </c>
      <c r="G133" s="21" t="n">
        <v>5.9662964E9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2208.0</v>
      </c>
      <c r="F134" s="22" t="n">
        <f>0</f>
        <v>0.0</v>
      </c>
      <c r="G134" s="21" t="n">
        <v>4.87257845E9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15851.0</v>
      </c>
      <c r="F135" s="26" t="n">
        <f>0</f>
        <v>0.0</v>
      </c>
      <c r="G135" s="25" t="n">
        <v>3.509341505E10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50.0</v>
      </c>
      <c r="F136" s="18" t="n">
        <f>0</f>
        <v>0.0</v>
      </c>
      <c r="G136" s="17" t="n">
        <v>1.079314E8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14.0</v>
      </c>
      <c r="F137" s="22" t="n">
        <f>0</f>
        <v>0.0</v>
      </c>
      <c r="G137" s="21" t="n">
        <v>3.01259E7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18.0</v>
      </c>
      <c r="F138" s="22" t="n">
        <f>0</f>
        <v>0.0</v>
      </c>
      <c r="G138" s="21" t="n">
        <v>3.88001E7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82.0</v>
      </c>
      <c r="F139" s="26" t="n">
        <f>0</f>
        <v>0.0</v>
      </c>
      <c r="G139" s="25" t="n">
        <v>1.768574E8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868.0</v>
      </c>
      <c r="F144" s="18" t="n">
        <f>0</f>
        <v>0.0</v>
      </c>
      <c r="G144" s="17" t="n">
        <v>3.787642E9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889.0</v>
      </c>
      <c r="F145" s="22" t="n">
        <f>0</f>
        <v>0.0</v>
      </c>
      <c r="G145" s="21" t="n">
        <v>3.8468645E9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520.0</v>
      </c>
      <c r="F146" s="22" t="n">
        <f>0</f>
        <v>0.0</v>
      </c>
      <c r="G146" s="21" t="n">
        <v>2.2698695E9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2277.0</v>
      </c>
      <c r="F147" s="26" t="n">
        <f>0</f>
        <v>0.0</v>
      </c>
      <c r="G147" s="25" t="n">
        <v>9.904376E9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296.0</v>
      </c>
      <c r="F148" s="18" t="n">
        <f>0</f>
        <v>0.0</v>
      </c>
      <c r="G148" s="17" t="n">
        <v>2.65308E8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95.0</v>
      </c>
      <c r="F149" s="22" t="n">
        <f>0</f>
        <v>0.0</v>
      </c>
      <c r="G149" s="21" t="n">
        <v>8.47781E7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280.0</v>
      </c>
      <c r="F150" s="22" t="n">
        <f>0</f>
        <v>0.0</v>
      </c>
      <c r="G150" s="21" t="n">
        <v>2.498748E8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671.0</v>
      </c>
      <c r="F151" s="26" t="n">
        <f>0</f>
        <v>0.0</v>
      </c>
      <c r="G151" s="25" t="n">
        <v>5.999609E8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300.0</v>
      </c>
      <c r="F152" s="18" t="n">
        <f>0</f>
        <v>0.0</v>
      </c>
      <c r="G152" s="17" t="n">
        <v>2.624848E8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155.0</v>
      </c>
      <c r="F153" s="22" t="n">
        <f>0</f>
        <v>0.0</v>
      </c>
      <c r="G153" s="21" t="n">
        <v>1.3464465E8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301.0</v>
      </c>
      <c r="F154" s="22" t="n">
        <f>0</f>
        <v>0.0</v>
      </c>
      <c r="G154" s="21" t="n">
        <v>2.6288875E8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756.0</v>
      </c>
      <c r="F155" s="26" t="n">
        <f>0</f>
        <v>0.0</v>
      </c>
      <c r="G155" s="25" t="n">
        <v>6.600182E8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253.0</v>
      </c>
      <c r="F156" s="18" t="n">
        <f>0</f>
        <v>0.0</v>
      </c>
      <c r="G156" s="17" t="n">
        <v>2.217251E8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101.0</v>
      </c>
      <c r="F157" s="22" t="n">
        <f>0</f>
        <v>0.0</v>
      </c>
      <c r="G157" s="21" t="n">
        <v>8.78245E7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164.0</v>
      </c>
      <c r="F158" s="22" t="n">
        <f>0</f>
        <v>0.0</v>
      </c>
      <c r="G158" s="21" t="n">
        <v>1.432604E8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518.0</v>
      </c>
      <c r="F159" s="26" t="n">
        <f>0</f>
        <v>0.0</v>
      </c>
      <c r="G159" s="25" t="n">
        <v>4.5281E8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73.0</v>
      </c>
      <c r="F168" s="18" t="n">
        <f>0</f>
        <v>0.0</v>
      </c>
      <c r="G168" s="17" t="n">
        <v>1.589085E8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296.0</v>
      </c>
      <c r="F169" s="22" t="n">
        <f>0</f>
        <v>0.0</v>
      </c>
      <c r="G169" s="21" t="n">
        <v>6.33095E8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310.0</v>
      </c>
      <c r="F170" s="22" t="n">
        <f>16</f>
        <v>16.0</v>
      </c>
      <c r="G170" s="21" t="n">
        <v>6.609115E8</v>
      </c>
      <c r="H170" s="22" t="n">
        <f>35260000</f>
        <v>3.526E7</v>
      </c>
    </row>
    <row r="171" spans="1:8" ht="24.9" customHeight="1">
      <c r="A171" s="51"/>
      <c r="B171" s="57"/>
      <c r="C171" s="39"/>
      <c r="D171" s="24" t="s">
        <v>18</v>
      </c>
      <c r="E171" s="25" t="n">
        <v>679.0</v>
      </c>
      <c r="F171" s="26" t="n">
        <f>16</f>
        <v>16.0</v>
      </c>
      <c r="G171" s="25" t="n">
        <v>1.452915E9</v>
      </c>
      <c r="H171" s="26" t="n">
        <f>35260000</f>
        <v>3.526E7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7376000.0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5.0</v>
      </c>
      <c r="F177" s="22" t="n">
        <f>0</f>
        <v>0.0</v>
      </c>
      <c r="G177" s="21" t="n">
        <v>9524000.0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9.0</v>
      </c>
      <c r="F179" s="26" t="n">
        <f>0</f>
        <v>0.0</v>
      </c>
      <c r="G179" s="25" t="n">
        <v>1.69E7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396.0</v>
      </c>
      <c r="F204" s="18" t="n">
        <f>0</f>
        <v>0.0</v>
      </c>
      <c r="G204" s="17" t="n">
        <v>1.622775E9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288.0</v>
      </c>
      <c r="F205" s="22" t="n">
        <f>15</f>
        <v>15.0</v>
      </c>
      <c r="G205" s="21" t="n">
        <v>1.1970355E9</v>
      </c>
      <c r="H205" s="22" t="n">
        <f>62925000</f>
        <v>6.2925E7</v>
      </c>
    </row>
    <row r="206" spans="1:8" ht="24.9" customHeight="1">
      <c r="A206" s="57"/>
      <c r="B206" s="59"/>
      <c r="C206" s="39"/>
      <c r="D206" s="20" t="s">
        <v>17</v>
      </c>
      <c r="E206" s="21" t="n">
        <v>1293.0</v>
      </c>
      <c r="F206" s="22" t="n">
        <f>0</f>
        <v>0.0</v>
      </c>
      <c r="G206" s="21" t="n">
        <v>5.4029045E9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1977.0</v>
      </c>
      <c r="F207" s="26" t="n">
        <f>15</f>
        <v>15.0</v>
      </c>
      <c r="G207" s="25" t="n">
        <v>8.222715E9</v>
      </c>
      <c r="H207" s="26" t="n">
        <f>62925000</f>
        <v>6.2925E7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46279.0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46279.0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4556</f>
        <v>4556.0</v>
      </c>
      <c r="E12" s="35" t="n">
        <f>2213</f>
        <v>2213.0</v>
      </c>
      <c r="F12" s="17" t="n">
        <f>3358</f>
        <v>3358.0</v>
      </c>
      <c r="G12" s="35" t="n">
        <f>1439</f>
        <v>1439.0</v>
      </c>
      <c r="H12" s="17" t="n">
        <f>7914</f>
        <v>7914.0</v>
      </c>
      <c r="I12" s="35" t="n">
        <f>3652</f>
        <v>3652.0</v>
      </c>
      <c r="J12" s="17" t="n">
        <f>2235135480</f>
        <v>2.23513548E9</v>
      </c>
      <c r="K12" s="35" t="n">
        <f>1611718480</f>
        <v>1.61171848E9</v>
      </c>
      <c r="L12" s="17" t="n">
        <f>1670920660</f>
        <v>1.67092066E9</v>
      </c>
      <c r="M12" s="35" t="n">
        <f>934690660</f>
        <v>9.3469066E8</v>
      </c>
      <c r="N12" s="17" t="n">
        <f>3906056140</f>
        <v>3.90605614E9</v>
      </c>
      <c r="O12" s="35" t="n">
        <f>2546409140</f>
        <v>2.54640914E9</v>
      </c>
    </row>
    <row r="13" spans="1:15" ht="24.9" customHeight="1">
      <c r="A13" s="38"/>
      <c r="B13" s="62"/>
      <c r="C13" s="20" t="s">
        <v>16</v>
      </c>
      <c r="D13" s="21" t="n">
        <f>5270</f>
        <v>5270.0</v>
      </c>
      <c r="E13" s="36" t="n">
        <f>2611</f>
        <v>2611.0</v>
      </c>
      <c r="F13" s="21" t="n">
        <f>5401</f>
        <v>5401.0</v>
      </c>
      <c r="G13" s="36" t="n">
        <f>2856</f>
        <v>2856.0</v>
      </c>
      <c r="H13" s="21" t="n">
        <f>10671</f>
        <v>10671.0</v>
      </c>
      <c r="I13" s="36" t="n">
        <f>5467</f>
        <v>5467.0</v>
      </c>
      <c r="J13" s="21" t="n">
        <f>4508427460</f>
        <v>4.50842746E9</v>
      </c>
      <c r="K13" s="36" t="n">
        <f>3569241460</f>
        <v>3.56924146E9</v>
      </c>
      <c r="L13" s="21" t="n">
        <f>2653213200</f>
        <v>2.6532132E9</v>
      </c>
      <c r="M13" s="36" t="n">
        <f>2100573200</f>
        <v>2.1005732E9</v>
      </c>
      <c r="N13" s="21" t="n">
        <f>7161640660</f>
        <v>7.16164066E9</v>
      </c>
      <c r="O13" s="36" t="n">
        <f>5669814660</f>
        <v>5.66981466E9</v>
      </c>
    </row>
    <row r="14" spans="1:15" ht="24.9" customHeight="1">
      <c r="A14" s="38"/>
      <c r="B14" s="62"/>
      <c r="C14" s="20" t="s">
        <v>17</v>
      </c>
      <c r="D14" s="21" t="n">
        <f>9623</f>
        <v>9623.0</v>
      </c>
      <c r="E14" s="36" t="n">
        <f>6621</f>
        <v>6621.0</v>
      </c>
      <c r="F14" s="21" t="n">
        <f>3956</f>
        <v>3956.0</v>
      </c>
      <c r="G14" s="36" t="n">
        <f>2115</f>
        <v>2115.0</v>
      </c>
      <c r="H14" s="21" t="n">
        <f>13579</f>
        <v>13579.0</v>
      </c>
      <c r="I14" s="36" t="n">
        <f>8736</f>
        <v>8736.0</v>
      </c>
      <c r="J14" s="21" t="n">
        <f>7022587780</f>
        <v>7.02258778E9</v>
      </c>
      <c r="K14" s="36" t="n">
        <f>5660909780</f>
        <v>5.66090978E9</v>
      </c>
      <c r="L14" s="21" t="n">
        <f>3381194360</f>
        <v>3.38119436E9</v>
      </c>
      <c r="M14" s="36" t="n">
        <f>2598167360</f>
        <v>2.59816736E9</v>
      </c>
      <c r="N14" s="21" t="n">
        <f>10403782140</f>
        <v>1.040378214E10</v>
      </c>
      <c r="O14" s="36" t="n">
        <f>8259077140</f>
        <v>8.25907714E9</v>
      </c>
    </row>
    <row r="15" spans="1:15" ht="24.9" customHeight="1">
      <c r="A15" s="38"/>
      <c r="B15" s="62"/>
      <c r="C15" s="24" t="s">
        <v>18</v>
      </c>
      <c r="D15" s="25" t="n">
        <f>19449</f>
        <v>19449.0</v>
      </c>
      <c r="E15" s="37" t="n">
        <f>11445</f>
        <v>11445.0</v>
      </c>
      <c r="F15" s="25" t="n">
        <f>12715</f>
        <v>12715.0</v>
      </c>
      <c r="G15" s="37" t="n">
        <f>6410</f>
        <v>6410.0</v>
      </c>
      <c r="H15" s="25" t="n">
        <f>32164</f>
        <v>32164.0</v>
      </c>
      <c r="I15" s="37" t="n">
        <f>17855</f>
        <v>17855.0</v>
      </c>
      <c r="J15" s="25" t="n">
        <f>13766150720</f>
        <v>1.376615072E10</v>
      </c>
      <c r="K15" s="37" t="n">
        <f>10841869720</f>
        <v>1.084186972E10</v>
      </c>
      <c r="L15" s="25" t="n">
        <f>7705328220</f>
        <v>7.70532822E9</v>
      </c>
      <c r="M15" s="37" t="n">
        <f>5633431220</f>
        <v>5.63343122E9</v>
      </c>
      <c r="N15" s="25" t="n">
        <f>21471478940</f>
        <v>2.147147894E10</v>
      </c>
      <c r="O15" s="37" t="n">
        <f>16475300940</f>
        <v>1.647530094E10</v>
      </c>
    </row>
    <row r="16" spans="1:15" ht="24.9" customHeight="1">
      <c r="A16" s="38"/>
      <c r="B16" s="61" t="s">
        <v>105</v>
      </c>
      <c r="C16" s="16" t="s">
        <v>15</v>
      </c>
      <c r="D16" s="17" t="n">
        <f>9616</f>
        <v>9616.0</v>
      </c>
      <c r="E16" s="35" t="n">
        <f>490</f>
        <v>490.0</v>
      </c>
      <c r="F16" s="17" t="n">
        <f>11585</f>
        <v>11585.0</v>
      </c>
      <c r="G16" s="35" t="n">
        <f>1020</f>
        <v>1020.0</v>
      </c>
      <c r="H16" s="17" t="n">
        <f>21201</f>
        <v>21201.0</v>
      </c>
      <c r="I16" s="35" t="n">
        <f>1510</f>
        <v>1510.0</v>
      </c>
      <c r="J16" s="17" t="n">
        <f>1327999940</f>
        <v>1.32799994E9</v>
      </c>
      <c r="K16" s="35" t="n">
        <f>18785740</f>
        <v>1.878574E7</v>
      </c>
      <c r="L16" s="17" t="n">
        <f>1153154510</f>
        <v>1.15315451E9</v>
      </c>
      <c r="M16" s="35" t="n">
        <f>7570410</f>
        <v>7570410.0</v>
      </c>
      <c r="N16" s="17" t="n">
        <f>2481154450</f>
        <v>2.48115445E9</v>
      </c>
      <c r="O16" s="35" t="n">
        <f>26356150</f>
        <v>2.635615E7</v>
      </c>
    </row>
    <row r="17" spans="1:15" ht="24.9" customHeight="1">
      <c r="A17" s="38"/>
      <c r="B17" s="62"/>
      <c r="C17" s="20" t="s">
        <v>16</v>
      </c>
      <c r="D17" s="21" t="n">
        <f>5441</f>
        <v>5441.0</v>
      </c>
      <c r="E17" s="36" t="n">
        <f>150</f>
        <v>150.0</v>
      </c>
      <c r="F17" s="21" t="n">
        <f>7996</f>
        <v>7996.0</v>
      </c>
      <c r="G17" s="36" t="n">
        <f>210</f>
        <v>210.0</v>
      </c>
      <c r="H17" s="21" t="n">
        <f>13437</f>
        <v>13437.0</v>
      </c>
      <c r="I17" s="36" t="n">
        <f>360</f>
        <v>360.0</v>
      </c>
      <c r="J17" s="21" t="n">
        <f>371876610</f>
        <v>3.7187661E8</v>
      </c>
      <c r="K17" s="36" t="n">
        <f>7747610</f>
        <v>7747610.0</v>
      </c>
      <c r="L17" s="21" t="n">
        <f>183283910</f>
        <v>1.8328391E8</v>
      </c>
      <c r="M17" s="36" t="n">
        <f>802010</f>
        <v>802010.0</v>
      </c>
      <c r="N17" s="21" t="n">
        <f>555160520</f>
        <v>5.5516052E8</v>
      </c>
      <c r="O17" s="36" t="n">
        <f>8549620</f>
        <v>8549620.0</v>
      </c>
    </row>
    <row r="18" spans="1:15" ht="24.9" customHeight="1">
      <c r="A18" s="38"/>
      <c r="B18" s="62"/>
      <c r="C18" s="20" t="s">
        <v>17</v>
      </c>
      <c r="D18" s="21" t="n">
        <f>5002</f>
        <v>5002.0</v>
      </c>
      <c r="E18" s="36" t="n">
        <f>260</f>
        <v>260.0</v>
      </c>
      <c r="F18" s="21" t="n">
        <f>9523</f>
        <v>9523.0</v>
      </c>
      <c r="G18" s="36" t="n">
        <f>260</f>
        <v>260.0</v>
      </c>
      <c r="H18" s="21" t="n">
        <f>14525</f>
        <v>14525.0</v>
      </c>
      <c r="I18" s="36" t="n">
        <f>520</f>
        <v>520.0</v>
      </c>
      <c r="J18" s="21" t="n">
        <f>392298010</f>
        <v>3.9229801E8</v>
      </c>
      <c r="K18" s="36" t="n">
        <f>9033310</f>
        <v>9033310.0</v>
      </c>
      <c r="L18" s="21" t="n">
        <f>337391060</f>
        <v>3.3739106E8</v>
      </c>
      <c r="M18" s="36" t="n">
        <f>1262160</f>
        <v>1262160.0</v>
      </c>
      <c r="N18" s="21" t="n">
        <f>729689070</f>
        <v>7.2968907E8</v>
      </c>
      <c r="O18" s="36" t="n">
        <f>10295470</f>
        <v>1.029547E7</v>
      </c>
    </row>
    <row r="19" spans="1:15" ht="24.9" customHeight="1">
      <c r="A19" s="38"/>
      <c r="B19" s="62"/>
      <c r="C19" s="24" t="s">
        <v>18</v>
      </c>
      <c r="D19" s="25" t="n">
        <f>20059</f>
        <v>20059.0</v>
      </c>
      <c r="E19" s="37" t="n">
        <f>900</f>
        <v>900.0</v>
      </c>
      <c r="F19" s="25" t="n">
        <f>29104</f>
        <v>29104.0</v>
      </c>
      <c r="G19" s="37" t="n">
        <f>1490</f>
        <v>1490.0</v>
      </c>
      <c r="H19" s="25" t="n">
        <f>49163</f>
        <v>49163.0</v>
      </c>
      <c r="I19" s="37" t="n">
        <f>2390</f>
        <v>2390.0</v>
      </c>
      <c r="J19" s="25" t="n">
        <f>2092174560</f>
        <v>2.09217456E9</v>
      </c>
      <c r="K19" s="37" t="n">
        <f>35566660</f>
        <v>3.556666E7</v>
      </c>
      <c r="L19" s="25" t="n">
        <f>1673829480</f>
        <v>1.67382948E9</v>
      </c>
      <c r="M19" s="37" t="n">
        <f>9634580</f>
        <v>9634580.0</v>
      </c>
      <c r="N19" s="25" t="n">
        <f>3766004040</f>
        <v>3.76600404E9</v>
      </c>
      <c r="O19" s="37" t="n">
        <f>45201240</f>
        <v>4.520124E7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100</f>
        <v>100.0</v>
      </c>
      <c r="G20" s="35" t="n">
        <f>100</f>
        <v>100.0</v>
      </c>
      <c r="H20" s="17" t="n">
        <f>200</f>
        <v>200.0</v>
      </c>
      <c r="I20" s="35" t="n">
        <f>200</f>
        <v>200.0</v>
      </c>
      <c r="J20" s="17" t="n">
        <f>168475000</f>
        <v>1.68475E8</v>
      </c>
      <c r="K20" s="35" t="n">
        <f>168475000</f>
        <v>1.68475E8</v>
      </c>
      <c r="L20" s="17" t="n">
        <f>176025000</f>
        <v>1.76025E8</v>
      </c>
      <c r="M20" s="35" t="n">
        <f>176025000</f>
        <v>1.76025E8</v>
      </c>
      <c r="N20" s="17" t="n">
        <f>344500000</f>
        <v>3.445E8</v>
      </c>
      <c r="O20" s="35" t="n">
        <f>344500000</f>
        <v>3.445E8</v>
      </c>
    </row>
    <row r="21" spans="1:15" ht="24.9" customHeight="1">
      <c r="A21" s="38"/>
      <c r="B21" s="62"/>
      <c r="C21" s="20" t="s">
        <v>16</v>
      </c>
      <c r="D21" s="21" t="n">
        <f>213</f>
        <v>213.0</v>
      </c>
      <c r="E21" s="36" t="n">
        <f>213</f>
        <v>213.0</v>
      </c>
      <c r="F21" s="21" t="n">
        <f>0</f>
        <v>0.0</v>
      </c>
      <c r="G21" s="36" t="n">
        <f>0</f>
        <v>0.0</v>
      </c>
      <c r="H21" s="21" t="n">
        <f>213</f>
        <v>213.0</v>
      </c>
      <c r="I21" s="36" t="n">
        <f>213</f>
        <v>213.0</v>
      </c>
      <c r="J21" s="21" t="n">
        <f>199347054</f>
        <v>1.99347054E8</v>
      </c>
      <c r="K21" s="36" t="n">
        <f>199347054</f>
        <v>1.99347054E8</v>
      </c>
      <c r="L21" s="21" t="n">
        <f>0</f>
        <v>0.0</v>
      </c>
      <c r="M21" s="36" t="n">
        <f>0</f>
        <v>0.0</v>
      </c>
      <c r="N21" s="21" t="n">
        <f>199347054</f>
        <v>1.99347054E8</v>
      </c>
      <c r="O21" s="36" t="n">
        <f>199347054</f>
        <v>1.99347054E8</v>
      </c>
    </row>
    <row r="22" spans="1:15" ht="24.9" customHeight="1">
      <c r="A22" s="38"/>
      <c r="B22" s="62"/>
      <c r="C22" s="20" t="s">
        <v>17</v>
      </c>
      <c r="D22" s="21" t="n">
        <f>100</f>
        <v>100.0</v>
      </c>
      <c r="E22" s="36" t="n">
        <f>100</f>
        <v>100.0</v>
      </c>
      <c r="F22" s="21" t="n">
        <f>300</f>
        <v>300.0</v>
      </c>
      <c r="G22" s="36" t="n">
        <f>300</f>
        <v>300.0</v>
      </c>
      <c r="H22" s="21" t="n">
        <f>400</f>
        <v>400.0</v>
      </c>
      <c r="I22" s="36" t="n">
        <f>400</f>
        <v>400.0</v>
      </c>
      <c r="J22" s="21" t="n">
        <f>96500000</f>
        <v>9.65E7</v>
      </c>
      <c r="K22" s="36" t="n">
        <f>96500000</f>
        <v>9.65E7</v>
      </c>
      <c r="L22" s="21" t="n">
        <f>106871500</f>
        <v>1.068715E8</v>
      </c>
      <c r="M22" s="36" t="n">
        <f>106871500</f>
        <v>1.068715E8</v>
      </c>
      <c r="N22" s="21" t="n">
        <f>203371500</f>
        <v>2.033715E8</v>
      </c>
      <c r="O22" s="36" t="n">
        <f>203371500</f>
        <v>2.033715E8</v>
      </c>
    </row>
    <row r="23" spans="1:15" ht="24.9" customHeight="1">
      <c r="A23" s="38"/>
      <c r="B23" s="62"/>
      <c r="C23" s="24" t="s">
        <v>18</v>
      </c>
      <c r="D23" s="25" t="n">
        <f>413</f>
        <v>413.0</v>
      </c>
      <c r="E23" s="37" t="n">
        <f>413</f>
        <v>413.0</v>
      </c>
      <c r="F23" s="25" t="n">
        <f>400</f>
        <v>400.0</v>
      </c>
      <c r="G23" s="37" t="n">
        <f>400</f>
        <v>400.0</v>
      </c>
      <c r="H23" s="25" t="n">
        <f>813</f>
        <v>813.0</v>
      </c>
      <c r="I23" s="37" t="n">
        <f>813</f>
        <v>813.0</v>
      </c>
      <c r="J23" s="25" t="n">
        <f>464322054</f>
        <v>4.64322054E8</v>
      </c>
      <c r="K23" s="37" t="n">
        <f>464322054</f>
        <v>4.64322054E8</v>
      </c>
      <c r="L23" s="25" t="n">
        <f>282896500</f>
        <v>2.828965E8</v>
      </c>
      <c r="M23" s="37" t="n">
        <f>282896500</f>
        <v>2.828965E8</v>
      </c>
      <c r="N23" s="25" t="n">
        <f>747218554</f>
        <v>7.47218554E8</v>
      </c>
      <c r="O23" s="37" t="n">
        <f>747218554</f>
        <v>7.47218554E8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22</f>
        <v>22.0</v>
      </c>
      <c r="E36" s="18" t="n">
        <f>0</f>
        <v>0.0</v>
      </c>
      <c r="F36" s="17" t="n">
        <f>25</f>
        <v>25.0</v>
      </c>
      <c r="G36" s="18" t="n">
        <f>0</f>
        <v>0.0</v>
      </c>
      <c r="H36" s="17" t="n">
        <f>47</f>
        <v>47.0</v>
      </c>
      <c r="I36" s="18" t="n">
        <f>0</f>
        <v>0.0</v>
      </c>
      <c r="J36" s="17" t="n">
        <f>730000</f>
        <v>730000.0</v>
      </c>
      <c r="K36" s="18" t="n">
        <f>0</f>
        <v>0.0</v>
      </c>
      <c r="L36" s="17" t="n">
        <f>7750000</f>
        <v>7750000.0</v>
      </c>
      <c r="M36" s="18" t="n">
        <f>0</f>
        <v>0.0</v>
      </c>
      <c r="N36" s="17" t="n">
        <f>8480000</f>
        <v>8480000.0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15</f>
        <v>15.0</v>
      </c>
      <c r="G37" s="22" t="n">
        <f>0</f>
        <v>0.0</v>
      </c>
      <c r="H37" s="21" t="n">
        <f>15</f>
        <v>15.0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450000</f>
        <v>450000.0</v>
      </c>
      <c r="M37" s="22" t="n">
        <f>0</f>
        <v>0.0</v>
      </c>
      <c r="N37" s="21" t="n">
        <f>450000</f>
        <v>450000.0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</f>
        <v>1.0</v>
      </c>
      <c r="E38" s="36" t="n">
        <f>0</f>
        <v>0.0</v>
      </c>
      <c r="F38" s="21" t="n">
        <f>126</f>
        <v>126.0</v>
      </c>
      <c r="G38" s="36" t="n">
        <f>0</f>
        <v>0.0</v>
      </c>
      <c r="H38" s="21" t="n">
        <f>127</f>
        <v>127.0</v>
      </c>
      <c r="I38" s="36" t="n">
        <f>0</f>
        <v>0.0</v>
      </c>
      <c r="J38" s="21" t="n">
        <f>210000</f>
        <v>210000.0</v>
      </c>
      <c r="K38" s="36" t="n">
        <f>0</f>
        <v>0.0</v>
      </c>
      <c r="L38" s="21" t="n">
        <f>5100000</f>
        <v>5100000.0</v>
      </c>
      <c r="M38" s="36" t="n">
        <f>0</f>
        <v>0.0</v>
      </c>
      <c r="N38" s="21" t="n">
        <f>5310000</f>
        <v>5310000.0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23</f>
        <v>23.0</v>
      </c>
      <c r="E39" s="37" t="n">
        <f>0</f>
        <v>0.0</v>
      </c>
      <c r="F39" s="25" t="n">
        <f>166</f>
        <v>166.0</v>
      </c>
      <c r="G39" s="37" t="n">
        <f>0</f>
        <v>0.0</v>
      </c>
      <c r="H39" s="25" t="n">
        <f>189</f>
        <v>189.0</v>
      </c>
      <c r="I39" s="37" t="n">
        <f>0</f>
        <v>0.0</v>
      </c>
      <c r="J39" s="25" t="n">
        <f>940000</f>
        <v>940000.0</v>
      </c>
      <c r="K39" s="37" t="n">
        <f>0</f>
        <v>0.0</v>
      </c>
      <c r="L39" s="25" t="n">
        <f>13300000</f>
        <v>1.33E7</v>
      </c>
      <c r="M39" s="37" t="n">
        <f>0</f>
        <v>0.0</v>
      </c>
      <c r="N39" s="25" t="n">
        <f>14240000</f>
        <v>1.424E7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1231</f>
        <v>1231.0</v>
      </c>
      <c r="E41" s="36" t="n">
        <f>450</f>
        <v>450.0</v>
      </c>
      <c r="F41" s="21" t="n">
        <f>5342</f>
        <v>5342.0</v>
      </c>
      <c r="G41" s="36" t="n">
        <f>0</f>
        <v>0.0</v>
      </c>
      <c r="H41" s="21" t="n">
        <f>6573</f>
        <v>6573.0</v>
      </c>
      <c r="I41" s="36" t="n">
        <f>450</f>
        <v>450.0</v>
      </c>
      <c r="J41" s="21" t="n">
        <f>17495571</f>
        <v>1.7495571E7</v>
      </c>
      <c r="K41" s="36" t="n">
        <f>7290000</f>
        <v>7290000.0</v>
      </c>
      <c r="L41" s="21" t="n">
        <f>5270948</f>
        <v>5270948.0</v>
      </c>
      <c r="M41" s="36" t="n">
        <f>0</f>
        <v>0.0</v>
      </c>
      <c r="N41" s="21" t="n">
        <f>22766519</f>
        <v>2.2766519E7</v>
      </c>
      <c r="O41" s="36" t="n">
        <f>7290000</f>
        <v>7290000.0</v>
      </c>
    </row>
    <row r="42" spans="1:15" ht="24.9" customHeight="1">
      <c r="A42" s="38"/>
      <c r="B42" s="62"/>
      <c r="C42" s="20" t="s">
        <v>17</v>
      </c>
      <c r="D42" s="21" t="n">
        <f>3574</f>
        <v>3574.0</v>
      </c>
      <c r="E42" s="36" t="n">
        <f>2000</f>
        <v>2000.0</v>
      </c>
      <c r="F42" s="21" t="n">
        <f>2752</f>
        <v>2752.0</v>
      </c>
      <c r="G42" s="36" t="n">
        <f>0</f>
        <v>0.0</v>
      </c>
      <c r="H42" s="21" t="n">
        <f>6326</f>
        <v>6326.0</v>
      </c>
      <c r="I42" s="36" t="n">
        <f>2000</f>
        <v>2000.0</v>
      </c>
      <c r="J42" s="21" t="n">
        <f>46935015</f>
        <v>4.6935015E7</v>
      </c>
      <c r="K42" s="36" t="n">
        <f>34600000</f>
        <v>3.46E7</v>
      </c>
      <c r="L42" s="21" t="n">
        <f>16779136</f>
        <v>1.6779136E7</v>
      </c>
      <c r="M42" s="36" t="n">
        <f>0</f>
        <v>0.0</v>
      </c>
      <c r="N42" s="21" t="n">
        <f>63714151</f>
        <v>6.3714151E7</v>
      </c>
      <c r="O42" s="36" t="n">
        <f>34600000</f>
        <v>3.46E7</v>
      </c>
    </row>
    <row r="43" spans="1:15" ht="24.9" customHeight="1">
      <c r="A43" s="38"/>
      <c r="B43" s="62"/>
      <c r="C43" s="24" t="s">
        <v>18</v>
      </c>
      <c r="D43" s="25" t="n">
        <f>4805</f>
        <v>4805.0</v>
      </c>
      <c r="E43" s="37" t="n">
        <f>2450</f>
        <v>2450.0</v>
      </c>
      <c r="F43" s="25" t="n">
        <f>8094</f>
        <v>8094.0</v>
      </c>
      <c r="G43" s="37" t="n">
        <f>0</f>
        <v>0.0</v>
      </c>
      <c r="H43" s="25" t="n">
        <f>12899</f>
        <v>12899.0</v>
      </c>
      <c r="I43" s="37" t="n">
        <f>2450</f>
        <v>2450.0</v>
      </c>
      <c r="J43" s="25" t="n">
        <f>64430586</f>
        <v>6.4430586E7</v>
      </c>
      <c r="K43" s="37" t="n">
        <f>41890000</f>
        <v>4.189E7</v>
      </c>
      <c r="L43" s="25" t="n">
        <f>22050084</f>
        <v>2.2050084E7</v>
      </c>
      <c r="M43" s="37" t="n">
        <f>0</f>
        <v>0.0</v>
      </c>
      <c r="N43" s="25" t="n">
        <f>86480670</f>
        <v>8.648067E7</v>
      </c>
      <c r="O43" s="37" t="n">
        <f>41890000</f>
        <v>4.189E7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