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<sst xmlns="http://schemas.openxmlformats.org/spreadsheetml/2006/main" count="528" uniqueCount="129">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</sst>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DATE(2026,10,01)</f>
        <v>46296.0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DATE(2026,10,01)</f>
        <v>46296.0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962727.0</f>
        <v>962727.0</v>
      </c>
      <c r="E12" s="18" t="n">
        <f>40621.0</f>
        <v>40621.0</v>
      </c>
      <c r="F12" s="19" t="n">
        <f>1.0</f>
        <v>1.0</v>
      </c>
      <c r="G12" s="17" t="n">
        <f>7452653110196.0</f>
        <v>7.452653110196E12</v>
      </c>
      <c r="H12" s="18" t="n">
        <f>415840350496.0</f>
        <v>4.15840350496E11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478333.0</f>
        <v>478333.0</v>
      </c>
      <c r="E13" s="22" t="n">
        <f>24901.0</f>
        <v>24901.0</v>
      </c>
      <c r="F13" s="23" t="n">
        <f>1.0</f>
        <v>1.0</v>
      </c>
      <c r="G13" s="21" t="n">
        <f>5190552077910.0</f>
        <v>5.19055207791E12</v>
      </c>
      <c r="H13" s="22" t="n">
        <f>442204070110.0</f>
        <v>4.4220407011E11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576913.0</f>
        <v>576913.0</v>
      </c>
      <c r="E14" s="22" t="n">
        <f>64758.0</f>
        <v>64758.0</v>
      </c>
      <c r="F14" s="23" t="n">
        <f>1.0</f>
        <v>1.0</v>
      </c>
      <c r="G14" s="21" t="n">
        <f>7247271656805.0</f>
        <v>7.247271656805E12</v>
      </c>
      <c r="H14" s="22" t="n">
        <f>1944031829780.0</f>
        <v>1.94403182978E12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2017973.0</f>
        <v>2017973.0</v>
      </c>
      <c r="E15" s="26" t="n">
        <f>130280.0</f>
        <v>130280.0</v>
      </c>
      <c r="F15" s="27" t="n">
        <f>1.0</f>
        <v>1.0</v>
      </c>
      <c r="G15" s="25" t="n">
        <f>19890476844911.0</f>
        <v>1.9890476844911E13</v>
      </c>
      <c r="H15" s="26" t="n">
        <f>2802076250386.0</f>
        <v>2.802076250386E12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21993.0</f>
        <v>21993.0</v>
      </c>
      <c r="E16" s="18" t="n">
        <f>455.0</f>
        <v>455.0</v>
      </c>
      <c r="F16" s="19" t="n">
        <f>0.023</f>
        <v>0.023</v>
      </c>
      <c r="G16" s="17" t="n">
        <f>2734064543750.0</f>
        <v>2.73406454375E12</v>
      </c>
      <c r="H16" s="18" t="n">
        <f>56659240000.0</f>
        <v>5.665924E10</v>
      </c>
      <c r="I16" s="19" t="n">
        <f>0.367</f>
        <v>0.367</v>
      </c>
    </row>
    <row r="17" spans="1:9" ht="24.9" customHeight="1">
      <c r="A17" s="41"/>
      <c r="B17" s="39"/>
      <c r="C17" s="20" t="s">
        <v>16</v>
      </c>
      <c r="D17" s="21" t="n">
        <f>20124.0</f>
        <v>20124.0</v>
      </c>
      <c r="E17" s="22" t="n">
        <f>1745.0</f>
        <v>1745.0</v>
      </c>
      <c r="F17" s="23" t="n">
        <f>0.042</f>
        <v>0.042</v>
      </c>
      <c r="G17" s="21" t="n">
        <f>2169236414750.0</f>
        <v>2.16923641475E12</v>
      </c>
      <c r="H17" s="22" t="n">
        <f>217010930000.0</f>
        <v>2.1701093E11</v>
      </c>
      <c r="I17" s="23" t="n">
        <f>0.418</f>
        <v>0.418</v>
      </c>
    </row>
    <row r="18" spans="1:9" ht="24.9" customHeight="1">
      <c r="A18" s="41"/>
      <c r="B18" s="39"/>
      <c r="C18" s="20" t="s">
        <v>17</v>
      </c>
      <c r="D18" s="21" t="n">
        <f>17187.0</f>
        <v>17187.0</v>
      </c>
      <c r="E18" s="22" t="n">
        <f>2752.0</f>
        <v>2752.0</v>
      </c>
      <c r="F18" s="23" t="n">
        <f>0.03</f>
        <v>0.03</v>
      </c>
      <c r="G18" s="21" t="n">
        <f>1794084352625.0</f>
        <v>1.794084352625E12</v>
      </c>
      <c r="H18" s="22" t="n">
        <f>342163420000.0</f>
        <v>3.4216342E11</v>
      </c>
      <c r="I18" s="23" t="n">
        <f>0.248</f>
        <v>0.248</v>
      </c>
    </row>
    <row r="19" spans="1:9" ht="24.9" customHeight="1">
      <c r="A19" s="41"/>
      <c r="B19" s="39"/>
      <c r="C19" s="24" t="s">
        <v>18</v>
      </c>
      <c r="D19" s="25" t="n">
        <f>59304.0</f>
        <v>59304.0</v>
      </c>
      <c r="E19" s="26" t="n">
        <f>4952.0</f>
        <v>4952.0</v>
      </c>
      <c r="F19" s="27" t="n">
        <f>0.029</f>
        <v>0.029</v>
      </c>
      <c r="G19" s="25" t="n">
        <f>6697385311125.0</f>
        <v>6.697385311125E12</v>
      </c>
      <c r="H19" s="26" t="n">
        <f>615833590000.0</f>
        <v>6.1583359E11</v>
      </c>
      <c r="I19" s="27" t="n">
        <f>0.337</f>
        <v>0.337</v>
      </c>
    </row>
    <row r="20" spans="1:9" ht="24.9" customHeight="1">
      <c r="A20" s="41"/>
      <c r="B20" s="39" t="s">
        <v>21</v>
      </c>
      <c r="C20" s="16" t="s">
        <v>15</v>
      </c>
      <c r="D20" s="17" t="n">
        <f>926338.0</f>
        <v>926338.0</v>
      </c>
      <c r="E20" s="18" t="n">
        <f>40026.0</f>
        <v>40026.0</v>
      </c>
      <c r="F20" s="19" t="n">
        <f>0.962</f>
        <v>0.962</v>
      </c>
      <c r="G20" s="17" t="n">
        <f>4568491778196.0</f>
        <v>4.568491778196E12</v>
      </c>
      <c r="H20" s="18" t="n">
        <f>358804280496.0</f>
        <v>3.58804280496E11</v>
      </c>
      <c r="I20" s="19" t="n">
        <f>0.613</f>
        <v>0.613</v>
      </c>
    </row>
    <row r="21" spans="1:9" ht="24.9" customHeight="1">
      <c r="A21" s="41"/>
      <c r="B21" s="39"/>
      <c r="C21" s="20" t="s">
        <v>16</v>
      </c>
      <c r="D21" s="21" t="n">
        <f>453525.0</f>
        <v>453525.0</v>
      </c>
      <c r="E21" s="22" t="n">
        <f>23156.0</f>
        <v>23156.0</v>
      </c>
      <c r="F21" s="23" t="n">
        <f>0.948</f>
        <v>0.948</v>
      </c>
      <c r="G21" s="21" t="n">
        <f>2981890935110.0</f>
        <v>2.98189093511E12</v>
      </c>
      <c r="H21" s="22" t="n">
        <f>225193140110.0</f>
        <v>2.2519314011E11</v>
      </c>
      <c r="I21" s="23" t="n">
        <f>0.574</f>
        <v>0.574</v>
      </c>
    </row>
    <row r="22" spans="1:9" ht="24.9" customHeight="1">
      <c r="A22" s="41"/>
      <c r="B22" s="39"/>
      <c r="C22" s="20" t="s">
        <v>17</v>
      </c>
      <c r="D22" s="21" t="n">
        <f>549065.0</f>
        <v>549065.0</v>
      </c>
      <c r="E22" s="22" t="n">
        <f>61762.0</f>
        <v>61762.0</v>
      </c>
      <c r="F22" s="23" t="n">
        <f>0.952</f>
        <v>0.952</v>
      </c>
      <c r="G22" s="21" t="n">
        <f>5371891053930.0</f>
        <v>5.37189105393E12</v>
      </c>
      <c r="H22" s="22" t="n">
        <f>1601335537780.0</f>
        <v>1.60133553778E12</v>
      </c>
      <c r="I22" s="23" t="n">
        <f>0.741</f>
        <v>0.741</v>
      </c>
    </row>
    <row r="23" spans="1:9" ht="24.9" customHeight="1">
      <c r="A23" s="41"/>
      <c r="B23" s="39"/>
      <c r="C23" s="24" t="s">
        <v>18</v>
      </c>
      <c r="D23" s="25" t="n">
        <f>1928928.0</f>
        <v>1928928.0</v>
      </c>
      <c r="E23" s="26" t="n">
        <f>124944.0</f>
        <v>124944.0</v>
      </c>
      <c r="F23" s="27" t="n">
        <f>0.956</f>
        <v>0.956</v>
      </c>
      <c r="G23" s="25" t="n">
        <f>12922273767236.0</f>
        <v>1.2922273767236E13</v>
      </c>
      <c r="H23" s="26" t="n">
        <f>2185332958386.0</f>
        <v>2.185332958386E12</v>
      </c>
      <c r="I23" s="27" t="n">
        <f>0.65</f>
        <v>0.65</v>
      </c>
    </row>
    <row r="24" spans="1:9" ht="24.9" customHeight="1">
      <c r="A24" s="41"/>
      <c r="B24" s="39" t="s">
        <v>22</v>
      </c>
      <c r="C24" s="16" t="s">
        <v>15</v>
      </c>
      <c r="D24" s="17" t="n">
        <f>13996.0</f>
        <v>13996.0</v>
      </c>
      <c r="E24" s="18" t="n">
        <f>0.0</f>
        <v>0.0</v>
      </c>
      <c r="F24" s="19" t="n">
        <f>0.015</f>
        <v>0.015</v>
      </c>
      <c r="G24" s="17" t="n">
        <f>148589878250.0</f>
        <v>1.4858987825E11</v>
      </c>
      <c r="H24" s="18" t="n">
        <f>0.0</f>
        <v>0.0</v>
      </c>
      <c r="I24" s="19" t="n">
        <f>0.02</f>
        <v>0.02</v>
      </c>
    </row>
    <row r="25" spans="1:9" ht="24.9" customHeight="1">
      <c r="A25" s="41"/>
      <c r="B25" s="39"/>
      <c r="C25" s="20" t="s">
        <v>16</v>
      </c>
      <c r="D25" s="21" t="n">
        <f>4420.0</f>
        <v>4420.0</v>
      </c>
      <c r="E25" s="22" t="n">
        <f>0.0</f>
        <v>0.0</v>
      </c>
      <c r="F25" s="23" t="n">
        <f>0.009</f>
        <v>0.009</v>
      </c>
      <c r="G25" s="21" t="n">
        <f>38273355550.0</f>
        <v>3.827335555E10</v>
      </c>
      <c r="H25" s="22" t="n">
        <f>0.0</f>
        <v>0.0</v>
      </c>
      <c r="I25" s="23" t="n">
        <f>0.007</f>
        <v>0.007</v>
      </c>
    </row>
    <row r="26" spans="1:9" ht="24.9" customHeight="1">
      <c r="A26" s="41"/>
      <c r="B26" s="39"/>
      <c r="C26" s="20" t="s">
        <v>17</v>
      </c>
      <c r="D26" s="21" t="n">
        <f>8852.0</f>
        <v>8852.0</v>
      </c>
      <c r="E26" s="22" t="n">
        <f>44.0</f>
        <v>44.0</v>
      </c>
      <c r="F26" s="23" t="n">
        <f>0.015</f>
        <v>0.015</v>
      </c>
      <c r="G26" s="21" t="n">
        <f>73869295750.0</f>
        <v>7.386929575E10</v>
      </c>
      <c r="H26" s="22" t="n">
        <f>170544000.0</f>
        <v>1.70544E8</v>
      </c>
      <c r="I26" s="23" t="n">
        <f>0.01</f>
        <v>0.01</v>
      </c>
    </row>
    <row r="27" spans="1:9" ht="24.9" customHeight="1">
      <c r="A27" s="42"/>
      <c r="B27" s="39"/>
      <c r="C27" s="24" t="s">
        <v>18</v>
      </c>
      <c r="D27" s="25" t="n">
        <f>27268.0</f>
        <v>27268.0</v>
      </c>
      <c r="E27" s="26" t="n">
        <f>44.0</f>
        <v>44.0</v>
      </c>
      <c r="F27" s="27" t="n">
        <f>0.014</f>
        <v>0.014</v>
      </c>
      <c r="G27" s="25" t="n">
        <f>260732529550.0</f>
        <v>2.6073252955E11</v>
      </c>
      <c r="H27" s="26" t="n">
        <f>170544000.0</f>
        <v>1.70544E8</v>
      </c>
      <c r="I27" s="27" t="n">
        <f>0.013</f>
        <v>0.013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400.0</f>
        <v>400.0</v>
      </c>
      <c r="E28" s="18" t="n">
        <f>140.0</f>
        <v>140.0</v>
      </c>
      <c r="F28" s="19" t="n">
        <f>0.0</f>
        <v>0.0</v>
      </c>
      <c r="G28" s="17" t="n">
        <f>1506910000.0</f>
        <v>1.50691E9</v>
      </c>
      <c r="H28" s="18" t="n">
        <f>376830000.0</f>
        <v>3.7683E8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264.0</f>
        <v>264.0</v>
      </c>
      <c r="E29" s="22" t="n">
        <f>0.0</f>
        <v>0.0</v>
      </c>
      <c r="F29" s="23" t="n">
        <f>0.001</f>
        <v>0.001</v>
      </c>
      <c r="G29" s="21" t="n">
        <f>1151372500.0</f>
        <v>1.1513725E9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1809.0</f>
        <v>1809.0</v>
      </c>
      <c r="E30" s="22" t="n">
        <f>200.0</f>
        <v>200.0</v>
      </c>
      <c r="F30" s="23" t="n">
        <f>0.003</f>
        <v>0.003</v>
      </c>
      <c r="G30" s="21" t="n">
        <f>7426954500.0</f>
        <v>7.4269545E9</v>
      </c>
      <c r="H30" s="22" t="n">
        <f>362328000.0</f>
        <v>3.62328E8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2473.0</f>
        <v>2473.0</v>
      </c>
      <c r="E31" s="26" t="n">
        <f>340.0</f>
        <v>340.0</v>
      </c>
      <c r="F31" s="27" t="n">
        <f>0.001</f>
        <v>0.001</v>
      </c>
      <c r="G31" s="25" t="n">
        <f>10085237000.0</f>
        <v>1.0085237E10</v>
      </c>
      <c r="H31" s="26" t="n">
        <f>739158000.0</f>
        <v>7.39158E8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46296.0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46296.0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32120</f>
        <v>32120.0</v>
      </c>
      <c r="E11" s="18" t="n">
        <f>3984</f>
        <v>3984.0</v>
      </c>
      <c r="F11" s="19" t="n">
        <f>1</f>
        <v>1.0</v>
      </c>
      <c r="G11" s="17" t="n">
        <f>3061209080</f>
        <v>3.06120908E9</v>
      </c>
      <c r="H11" s="18" t="n">
        <f>1452933580</f>
        <v>1.45293358E9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56078</f>
        <v>56078.0</v>
      </c>
      <c r="E12" s="22" t="n">
        <f>7550</f>
        <v>7550.0</v>
      </c>
      <c r="F12" s="23" t="n">
        <f>1</f>
        <v>1.0</v>
      </c>
      <c r="G12" s="21" t="n">
        <f>7578035252</f>
        <v>7.578035252E9</v>
      </c>
      <c r="H12" s="22" t="n">
        <f>5535474810</f>
        <v>5.53547481E9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95791</f>
        <v>95791.0</v>
      </c>
      <c r="E13" s="22" t="n">
        <f>38065</f>
        <v>38065.0</v>
      </c>
      <c r="F13" s="23" t="n">
        <f>1</f>
        <v>1.0</v>
      </c>
      <c r="G13" s="21" t="n">
        <f>27618735912</f>
        <v>2.7618735912E10</v>
      </c>
      <c r="H13" s="22" t="n">
        <f>22691194754</f>
        <v>2.2691194754E10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183989</f>
        <v>183989.0</v>
      </c>
      <c r="E14" s="26" t="n">
        <f>49599</f>
        <v>49599.0</v>
      </c>
      <c r="F14" s="27" t="n">
        <f>1</f>
        <v>1.0</v>
      </c>
      <c r="G14" s="25" t="n">
        <f>38257980244</f>
        <v>3.8257980244E10</v>
      </c>
      <c r="H14" s="26" t="n">
        <f>29679603144</f>
        <v>2.9679603144E10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201</f>
        <v>201.0</v>
      </c>
      <c r="E16" s="22" t="n">
        <f>10</f>
        <v>10.0</v>
      </c>
      <c r="F16" s="23" t="n">
        <f>0.004</f>
        <v>0.004</v>
      </c>
      <c r="G16" s="21" t="n">
        <f>18840000</f>
        <v>1.884E7</v>
      </c>
      <c r="H16" s="22" t="n">
        <f>1200000</f>
        <v>1200000.0</v>
      </c>
      <c r="I16" s="23" t="n">
        <f>0.002</f>
        <v>0.002</v>
      </c>
    </row>
    <row r="17" spans="1:9" ht="24.9" customHeight="1">
      <c r="A17" s="41"/>
      <c r="B17" s="39"/>
      <c r="C17" s="20" t="s">
        <v>17</v>
      </c>
      <c r="D17" s="21" t="n">
        <f>55</f>
        <v>55.0</v>
      </c>
      <c r="E17" s="22" t="n">
        <f>0</f>
        <v>0.0</v>
      </c>
      <c r="F17" s="23" t="n">
        <f>0.001</f>
        <v>0.001</v>
      </c>
      <c r="G17" s="21" t="n">
        <f>5250000</f>
        <v>5250000.0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256</f>
        <v>256.0</v>
      </c>
      <c r="E18" s="26" t="n">
        <f>10</f>
        <v>10.0</v>
      </c>
      <c r="F18" s="27" t="n">
        <f>0.001</f>
        <v>0.001</v>
      </c>
      <c r="G18" s="25" t="n">
        <f>24090000</f>
        <v>2.409E7</v>
      </c>
      <c r="H18" s="26" t="n">
        <f>1200000</f>
        <v>1200000.0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32120</f>
        <v>32120.0</v>
      </c>
      <c r="E19" s="18" t="n">
        <f>3984</f>
        <v>3984.0</v>
      </c>
      <c r="F19" s="19" t="n">
        <f>1</f>
        <v>1.0</v>
      </c>
      <c r="G19" s="17" t="n">
        <f>3061209080</f>
        <v>3.06120908E9</v>
      </c>
      <c r="H19" s="18" t="n">
        <f>1452933580</f>
        <v>1.45293358E9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32672</f>
        <v>32672.0</v>
      </c>
      <c r="E20" s="22" t="n">
        <f>7440</f>
        <v>7440.0</v>
      </c>
      <c r="F20" s="23" t="n">
        <f>0.583</f>
        <v>0.583</v>
      </c>
      <c r="G20" s="21" t="n">
        <f>7530297210</f>
        <v>7.53029721E9</v>
      </c>
      <c r="H20" s="22" t="n">
        <f>5531474810</f>
        <v>5.53147481E9</v>
      </c>
      <c r="I20" s="23" t="n">
        <f>0.994</f>
        <v>0.994</v>
      </c>
    </row>
    <row r="21" spans="1:9" ht="24.9" customHeight="1">
      <c r="A21" s="41"/>
      <c r="B21" s="39"/>
      <c r="C21" s="20" t="s">
        <v>17</v>
      </c>
      <c r="D21" s="21" t="n">
        <f>80143</f>
        <v>80143.0</v>
      </c>
      <c r="E21" s="22" t="n">
        <f>38065</f>
        <v>38065.0</v>
      </c>
      <c r="F21" s="23" t="n">
        <f>0.837</f>
        <v>0.837</v>
      </c>
      <c r="G21" s="21" t="n">
        <f>27583086054</f>
        <v>2.7583086054E10</v>
      </c>
      <c r="H21" s="22" t="n">
        <f>22691194754</f>
        <v>2.2691194754E10</v>
      </c>
      <c r="I21" s="23" t="n">
        <f>0.999</f>
        <v>0.999</v>
      </c>
    </row>
    <row r="22" spans="1:9" ht="24.9" customHeight="1">
      <c r="A22" s="41"/>
      <c r="B22" s="39"/>
      <c r="C22" s="24" t="s">
        <v>18</v>
      </c>
      <c r="D22" s="25" t="n">
        <f>144935</f>
        <v>144935.0</v>
      </c>
      <c r="E22" s="26" t="n">
        <f>49489</f>
        <v>49489.0</v>
      </c>
      <c r="F22" s="27" t="n">
        <f>0.788</f>
        <v>0.788</v>
      </c>
      <c r="G22" s="25" t="n">
        <f>38174592344</f>
        <v>3.8174592344E10</v>
      </c>
      <c r="H22" s="26" t="n">
        <f>29675603144</f>
        <v>2.9675603144E10</v>
      </c>
      <c r="I22" s="27" t="n">
        <f>0.998</f>
        <v>0.998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23205</f>
        <v>23205.0</v>
      </c>
      <c r="E24" s="22" t="n">
        <f>100</f>
        <v>100.0</v>
      </c>
      <c r="F24" s="23" t="n">
        <f>0.414</f>
        <v>0.414</v>
      </c>
      <c r="G24" s="21" t="n">
        <f>28898042</f>
        <v>2.8898042E7</v>
      </c>
      <c r="H24" s="22" t="n">
        <f>2800000</f>
        <v>2800000.0</v>
      </c>
      <c r="I24" s="23" t="n">
        <f>0.004</f>
        <v>0.004</v>
      </c>
    </row>
    <row r="25" spans="1:9" ht="24.9" customHeight="1">
      <c r="A25" s="41"/>
      <c r="B25" s="39"/>
      <c r="C25" s="20" t="s">
        <v>17</v>
      </c>
      <c r="D25" s="21" t="n">
        <f>15593</f>
        <v>15593.0</v>
      </c>
      <c r="E25" s="22" t="n">
        <f>0</f>
        <v>0.0</v>
      </c>
      <c r="F25" s="23" t="n">
        <f>0.163</f>
        <v>0.163</v>
      </c>
      <c r="G25" s="21" t="n">
        <f>30399858</f>
        <v>3.0399858E7</v>
      </c>
      <c r="H25" s="22" t="n">
        <f>0</f>
        <v>0.0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38798</f>
        <v>38798.0</v>
      </c>
      <c r="E26" s="26" t="n">
        <f>100</f>
        <v>100.0</v>
      </c>
      <c r="F26" s="27" t="n">
        <f>0.211</f>
        <v>0.211</v>
      </c>
      <c r="G26" s="25" t="n">
        <f>59297900</f>
        <v>5.92979E7</v>
      </c>
      <c r="H26" s="26" t="n">
        <f>2800000</f>
        <v>2800000.0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46296.0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46296.0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14045.0</v>
      </c>
      <c r="F12" s="18" t="n">
        <f>1461</f>
        <v>1461.0</v>
      </c>
      <c r="G12" s="17" t="n">
        <v>9.472998702E11</v>
      </c>
      <c r="H12" s="18" t="n">
        <f>98740876200</f>
        <v>9.87408762E10</v>
      </c>
    </row>
    <row r="13" spans="1:8" ht="24.9" customHeight="1">
      <c r="A13" s="51"/>
      <c r="B13" s="57"/>
      <c r="C13" s="39"/>
      <c r="D13" s="20" t="s">
        <v>16</v>
      </c>
      <c r="E13" s="21" t="n">
        <v>11097.0</v>
      </c>
      <c r="F13" s="22" t="n">
        <f>1053</f>
        <v>1053.0</v>
      </c>
      <c r="G13" s="21" t="n">
        <v>7.530950597E11</v>
      </c>
      <c r="H13" s="22" t="n">
        <f>71386659700</f>
        <v>7.13866597E10</v>
      </c>
    </row>
    <row r="14" spans="1:8" ht="24.9" customHeight="1">
      <c r="A14" s="51"/>
      <c r="B14" s="57"/>
      <c r="C14" s="39"/>
      <c r="D14" s="20" t="s">
        <v>17</v>
      </c>
      <c r="E14" s="21" t="n">
        <v>28510.0</v>
      </c>
      <c r="F14" s="22" t="n">
        <f>9731</f>
        <v>9731.0</v>
      </c>
      <c r="G14" s="21" t="n">
        <v>1.96321146368E12</v>
      </c>
      <c r="H14" s="22" t="n">
        <f>669520613680</f>
        <v>6.6952061368E11</v>
      </c>
    </row>
    <row r="15" spans="1:8" ht="24.9" customHeight="1">
      <c r="A15" s="51"/>
      <c r="B15" s="57"/>
      <c r="C15" s="39"/>
      <c r="D15" s="24" t="s">
        <v>18</v>
      </c>
      <c r="E15" s="25" t="n">
        <v>53652.0</v>
      </c>
      <c r="F15" s="26" t="n">
        <f>12245</f>
        <v>12245.0</v>
      </c>
      <c r="G15" s="25" t="n">
        <v>3.66360639358E12</v>
      </c>
      <c r="H15" s="26" t="n">
        <f>839648149580</f>
        <v>8.3964814958E11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343951.0</v>
      </c>
      <c r="F16" s="18" t="n">
        <f>38124</f>
        <v>38124.0</v>
      </c>
      <c r="G16" s="17" t="n">
        <v>2.319350773746E12</v>
      </c>
      <c r="H16" s="18" t="n">
        <f>257070752746</f>
        <v>2.57070752746E11</v>
      </c>
    </row>
    <row r="17" spans="1:8" ht="24.9" customHeight="1">
      <c r="A17" s="51"/>
      <c r="B17" s="57"/>
      <c r="C17" s="39"/>
      <c r="D17" s="20" t="s">
        <v>16</v>
      </c>
      <c r="E17" s="21" t="n">
        <v>180959.0</v>
      </c>
      <c r="F17" s="22" t="n">
        <f>21445</f>
        <v>21445.0</v>
      </c>
      <c r="G17" s="21" t="n">
        <v>1.22699199971E12</v>
      </c>
      <c r="H17" s="22" t="n">
        <f>145391296210</f>
        <v>1.4539129621E11</v>
      </c>
    </row>
    <row r="18" spans="1:8" ht="24.9" customHeight="1">
      <c r="A18" s="51"/>
      <c r="B18" s="57"/>
      <c r="C18" s="39"/>
      <c r="D18" s="20" t="s">
        <v>17</v>
      </c>
      <c r="E18" s="21" t="n">
        <v>217885.0</v>
      </c>
      <c r="F18" s="22" t="n">
        <f>33391</f>
        <v>33391.0</v>
      </c>
      <c r="G18" s="21" t="n">
        <v>1.49985320766E12</v>
      </c>
      <c r="H18" s="22" t="n">
        <f>229662095160</f>
        <v>2.2966209516E11</v>
      </c>
    </row>
    <row r="19" spans="1:8" ht="24.9" customHeight="1">
      <c r="A19" s="51"/>
      <c r="B19" s="57"/>
      <c r="C19" s="39"/>
      <c r="D19" s="24" t="s">
        <v>18</v>
      </c>
      <c r="E19" s="25" t="n">
        <v>742795.0</v>
      </c>
      <c r="F19" s="26" t="n">
        <f>92960</f>
        <v>92960.0</v>
      </c>
      <c r="G19" s="25" t="n">
        <v>5.046195981116E12</v>
      </c>
      <c r="H19" s="26" t="n">
        <f>632124144116</f>
        <v>6.32124144116E11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537189.0</v>
      </c>
      <c r="F20" s="18" t="str">
        <f>"－"</f>
        <v>－</v>
      </c>
      <c r="G20" s="17" t="n">
        <v>3.6222224525E11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232183.0</v>
      </c>
      <c r="F21" s="22" t="str">
        <f>"－"</f>
        <v>－</v>
      </c>
      <c r="G21" s="21" t="n">
        <v>1.5741392465E11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250123.0</v>
      </c>
      <c r="F22" s="22" t="str">
        <f>"－"</f>
        <v>－</v>
      </c>
      <c r="G22" s="21" t="n">
        <v>1.720961726E11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1019495.0</v>
      </c>
      <c r="F23" s="26" t="str">
        <f>"－"</f>
        <v>－</v>
      </c>
      <c r="G23" s="25" t="n">
        <v>6.917323425E11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21950.0</v>
      </c>
      <c r="F24" s="18" t="n">
        <f>33</f>
        <v>33.0</v>
      </c>
      <c r="G24" s="17" t="n">
        <v>9.046254295E11</v>
      </c>
      <c r="H24" s="18" t="n">
        <f>1361219500</f>
        <v>1.3612195E9</v>
      </c>
    </row>
    <row r="25" spans="1:8" ht="24.9" customHeight="1">
      <c r="A25" s="51"/>
      <c r="B25" s="57"/>
      <c r="C25" s="39"/>
      <c r="D25" s="20" t="s">
        <v>16</v>
      </c>
      <c r="E25" s="21" t="n">
        <v>19704.0</v>
      </c>
      <c r="F25" s="22" t="n">
        <f>158</f>
        <v>158.0</v>
      </c>
      <c r="G25" s="21" t="n">
        <v>8.083400455E11</v>
      </c>
      <c r="H25" s="22" t="n">
        <f>6477550500</f>
        <v>6.4775505E9</v>
      </c>
    </row>
    <row r="26" spans="1:8" ht="24.9" customHeight="1">
      <c r="A26" s="51"/>
      <c r="B26" s="57"/>
      <c r="C26" s="39"/>
      <c r="D26" s="20" t="s">
        <v>17</v>
      </c>
      <c r="E26" s="21" t="n">
        <v>40923.0</v>
      </c>
      <c r="F26" s="22" t="n">
        <f>16826</f>
        <v>16826.0</v>
      </c>
      <c r="G26" s="21" t="n">
        <v>1.693593014E12</v>
      </c>
      <c r="H26" s="22" t="n">
        <f>696911459000</f>
        <v>6.96911459E11</v>
      </c>
    </row>
    <row r="27" spans="1:8" ht="24.9" customHeight="1">
      <c r="A27" s="51"/>
      <c r="B27" s="57"/>
      <c r="C27" s="39"/>
      <c r="D27" s="24" t="s">
        <v>18</v>
      </c>
      <c r="E27" s="25" t="n">
        <v>82577.0</v>
      </c>
      <c r="F27" s="26" t="n">
        <f>17017</f>
        <v>17017.0</v>
      </c>
      <c r="G27" s="25" t="n">
        <v>3.406558489E12</v>
      </c>
      <c r="H27" s="26" t="n">
        <f>704750229000</f>
        <v>7.04750229E11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7434.0</v>
      </c>
      <c r="F28" s="18" t="n">
        <f>373</f>
        <v>373.0</v>
      </c>
      <c r="G28" s="17" t="n">
        <v>3.06566868E10</v>
      </c>
      <c r="H28" s="18" t="n">
        <f>1538032050</f>
        <v>1.53803205E9</v>
      </c>
    </row>
    <row r="29" spans="1:8" ht="24.9" customHeight="1">
      <c r="A29" s="51"/>
      <c r="B29" s="57"/>
      <c r="C29" s="39"/>
      <c r="D29" s="20" t="s">
        <v>16</v>
      </c>
      <c r="E29" s="21" t="n">
        <v>7680.0</v>
      </c>
      <c r="F29" s="22" t="n">
        <f>464</f>
        <v>464.0</v>
      </c>
      <c r="G29" s="21" t="n">
        <v>3.151461075E10</v>
      </c>
      <c r="H29" s="22" t="n">
        <f>1903543000</f>
        <v>1.903543E9</v>
      </c>
    </row>
    <row r="30" spans="1:8" ht="24.9" customHeight="1">
      <c r="A30" s="51"/>
      <c r="B30" s="57"/>
      <c r="C30" s="39"/>
      <c r="D30" s="20" t="s">
        <v>17</v>
      </c>
      <c r="E30" s="21" t="n">
        <v>8192.0</v>
      </c>
      <c r="F30" s="22" t="n">
        <f>338</f>
        <v>338.0</v>
      </c>
      <c r="G30" s="21" t="n">
        <v>3.389520705E10</v>
      </c>
      <c r="H30" s="22" t="n">
        <f>1396924800</f>
        <v>1.3969248E9</v>
      </c>
    </row>
    <row r="31" spans="1:8" ht="24.9" customHeight="1">
      <c r="A31" s="51"/>
      <c r="B31" s="57"/>
      <c r="C31" s="39"/>
      <c r="D31" s="24" t="s">
        <v>18</v>
      </c>
      <c r="E31" s="25" t="n">
        <v>23306.0</v>
      </c>
      <c r="F31" s="26" t="n">
        <f>1175</f>
        <v>1175.0</v>
      </c>
      <c r="G31" s="25" t="n">
        <v>9.60665046E10</v>
      </c>
      <c r="H31" s="26" t="n">
        <f>4838499850</f>
        <v>4.83849985E9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687.0</v>
      </c>
      <c r="F36" s="18" t="n">
        <f>2</f>
        <v>2.0</v>
      </c>
      <c r="G36" s="17" t="n">
        <v>2.53648152E9</v>
      </c>
      <c r="H36" s="18" t="n">
        <f>7384020</f>
        <v>7384020.0</v>
      </c>
    </row>
    <row r="37" spans="1:8" ht="24.9" customHeight="1">
      <c r="A37" s="51"/>
      <c r="B37" s="57"/>
      <c r="C37" s="39"/>
      <c r="D37" s="20" t="s">
        <v>16</v>
      </c>
      <c r="E37" s="21" t="n">
        <v>972.0</v>
      </c>
      <c r="F37" s="22" t="n">
        <f>2</f>
        <v>2.0</v>
      </c>
      <c r="G37" s="21" t="n">
        <v>3.568177E9</v>
      </c>
      <c r="H37" s="22" t="n">
        <f>7342500</f>
        <v>7342500.0</v>
      </c>
    </row>
    <row r="38" spans="1:8" ht="24.9" customHeight="1">
      <c r="A38" s="51"/>
      <c r="B38" s="57"/>
      <c r="C38" s="39"/>
      <c r="D38" s="20" t="s">
        <v>17</v>
      </c>
      <c r="E38" s="21" t="n">
        <v>1238.0</v>
      </c>
      <c r="F38" s="22" t="n">
        <f>14</f>
        <v>14.0</v>
      </c>
      <c r="G38" s="21" t="n">
        <v>4.5810995E9</v>
      </c>
      <c r="H38" s="22" t="n">
        <f>51688000</f>
        <v>5.1688E7</v>
      </c>
    </row>
    <row r="39" spans="1:8" ht="24.9" customHeight="1">
      <c r="A39" s="51"/>
      <c r="B39" s="57"/>
      <c r="C39" s="39"/>
      <c r="D39" s="24" t="s">
        <v>18</v>
      </c>
      <c r="E39" s="25" t="n">
        <v>2897.0</v>
      </c>
      <c r="F39" s="26" t="n">
        <f>18</f>
        <v>18.0</v>
      </c>
      <c r="G39" s="25" t="n">
        <v>1.068575802E10</v>
      </c>
      <c r="H39" s="26" t="n">
        <f>66414520</f>
        <v>6.641452E7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223.0</v>
      </c>
      <c r="F46" s="22" t="n">
        <f>223</f>
        <v>223.0</v>
      </c>
      <c r="G46" s="21" t="n">
        <v>1.7051844E9</v>
      </c>
      <c r="H46" s="22" t="n">
        <f>1705184400</f>
        <v>1.7051844E9</v>
      </c>
    </row>
    <row r="47" spans="1:8" ht="24.9" customHeight="1">
      <c r="A47" s="51"/>
      <c r="B47" s="57"/>
      <c r="C47" s="39"/>
      <c r="D47" s="24" t="s">
        <v>18</v>
      </c>
      <c r="E47" s="25" t="n">
        <v>223.0</v>
      </c>
      <c r="F47" s="26" t="n">
        <f>223</f>
        <v>223.0</v>
      </c>
      <c r="G47" s="25" t="n">
        <v>1.7051844E9</v>
      </c>
      <c r="H47" s="26" t="n">
        <f>1705184400</f>
        <v>1.7051844E9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13.0</v>
      </c>
      <c r="F48" s="18" t="n">
        <f>13</f>
        <v>13.0</v>
      </c>
      <c r="G48" s="17" t="n">
        <v>2.2113E7</v>
      </c>
      <c r="H48" s="18" t="n">
        <f>22113000</f>
        <v>2.2113E7</v>
      </c>
    </row>
    <row r="49" spans="1:8" ht="24.9" customHeight="1">
      <c r="A49" s="51"/>
      <c r="B49" s="57"/>
      <c r="C49" s="39"/>
      <c r="D49" s="20" t="s">
        <v>16</v>
      </c>
      <c r="E49" s="21" t="n">
        <v>37.0</v>
      </c>
      <c r="F49" s="22" t="n">
        <f>0</f>
        <v>0.0</v>
      </c>
      <c r="G49" s="21" t="n">
        <v>6.28315E7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1269.0</v>
      </c>
      <c r="F50" s="22" t="n">
        <f>1226</f>
        <v>1226.0</v>
      </c>
      <c r="G50" s="21" t="n">
        <v>2.15020333E9</v>
      </c>
      <c r="H50" s="22" t="n">
        <f>2077289330</f>
        <v>2.07728933E9</v>
      </c>
    </row>
    <row r="51" spans="1:8" ht="24.9" customHeight="1">
      <c r="A51" s="51"/>
      <c r="B51" s="57"/>
      <c r="C51" s="39"/>
      <c r="D51" s="24" t="s">
        <v>18</v>
      </c>
      <c r="E51" s="25" t="n">
        <v>1319.0</v>
      </c>
      <c r="F51" s="26" t="n">
        <f>1239</f>
        <v>1239.0</v>
      </c>
      <c r="G51" s="25" t="n">
        <v>2.23514783E9</v>
      </c>
      <c r="H51" s="26" t="n">
        <f>2099402330</f>
        <v>2.09940233E9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610.0</v>
      </c>
      <c r="F56" s="18" t="n">
        <f>9</f>
        <v>9.0</v>
      </c>
      <c r="G56" s="17" t="n">
        <v>4.793058E8</v>
      </c>
      <c r="H56" s="18" t="n">
        <f>7062800</f>
        <v>7062800.0</v>
      </c>
    </row>
    <row r="57" spans="1:8" ht="24.9" customHeight="1">
      <c r="A57" s="51"/>
      <c r="B57" s="57"/>
      <c r="C57" s="39"/>
      <c r="D57" s="20" t="s">
        <v>16</v>
      </c>
      <c r="E57" s="21" t="n">
        <v>742.0</v>
      </c>
      <c r="F57" s="22" t="n">
        <f>34</f>
        <v>34.0</v>
      </c>
      <c r="G57" s="21" t="n">
        <v>5.836192E8</v>
      </c>
      <c r="H57" s="22" t="n">
        <f>26748200</f>
        <v>2.67482E7</v>
      </c>
    </row>
    <row r="58" spans="1:8" ht="24.9" customHeight="1">
      <c r="A58" s="51"/>
      <c r="B58" s="57"/>
      <c r="C58" s="39"/>
      <c r="D58" s="20" t="s">
        <v>17</v>
      </c>
      <c r="E58" s="21" t="n">
        <v>545.0</v>
      </c>
      <c r="F58" s="22" t="n">
        <f>13</f>
        <v>13.0</v>
      </c>
      <c r="G58" s="21" t="n">
        <v>4.3036841E8</v>
      </c>
      <c r="H58" s="22" t="n">
        <f>10283410</f>
        <v>1.028341E7</v>
      </c>
    </row>
    <row r="59" spans="1:8" ht="24.9" customHeight="1">
      <c r="A59" s="51"/>
      <c r="B59" s="57"/>
      <c r="C59" s="39"/>
      <c r="D59" s="24" t="s">
        <v>18</v>
      </c>
      <c r="E59" s="25" t="n">
        <v>1897.0</v>
      </c>
      <c r="F59" s="26" t="n">
        <f>56</f>
        <v>56.0</v>
      </c>
      <c r="G59" s="25" t="n">
        <v>1.49329341E9</v>
      </c>
      <c r="H59" s="26" t="n">
        <f>44094410</f>
        <v>4.409441E7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151.0</v>
      </c>
      <c r="F60" s="18" t="n">
        <f>11</f>
        <v>11.0</v>
      </c>
      <c r="G60" s="17" t="n">
        <v>7.7942728E8</v>
      </c>
      <c r="H60" s="18" t="n">
        <f>56840180</f>
        <v>5.684018E7</v>
      </c>
    </row>
    <row r="61" spans="1:8" ht="24.9" customHeight="1">
      <c r="A61" s="51"/>
      <c r="B61" s="57"/>
      <c r="C61" s="39"/>
      <c r="D61" s="20" t="s">
        <v>16</v>
      </c>
      <c r="E61" s="21" t="n">
        <v>25.0</v>
      </c>
      <c r="F61" s="22" t="n">
        <f>0</f>
        <v>0.0</v>
      </c>
      <c r="G61" s="21" t="n">
        <v>1.284589E8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37.0</v>
      </c>
      <c r="F62" s="22" t="n">
        <f>0</f>
        <v>0.0</v>
      </c>
      <c r="G62" s="21" t="n">
        <v>1.901283E8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213.0</v>
      </c>
      <c r="F63" s="26" t="n">
        <f>11</f>
        <v>11.0</v>
      </c>
      <c r="G63" s="25" t="n">
        <v>1.09801448E9</v>
      </c>
      <c r="H63" s="26" t="n">
        <f>56840180</f>
        <v>5.684018E7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6.0</v>
      </c>
      <c r="F77" s="22" t="n">
        <f>0</f>
        <v>0.0</v>
      </c>
      <c r="G77" s="21" t="n">
        <v>1721500.0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9.0</v>
      </c>
      <c r="F78" s="22" t="n">
        <f>0</f>
        <v>0.0</v>
      </c>
      <c r="G78" s="21" t="n">
        <v>2557000.0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15.0</v>
      </c>
      <c r="F79" s="26" t="n">
        <f>0</f>
        <v>0.0</v>
      </c>
      <c r="G79" s="25" t="n">
        <v>4278500.0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258.0</v>
      </c>
      <c r="F92" s="18" t="n">
        <f>0</f>
        <v>0.0</v>
      </c>
      <c r="G92" s="17" t="n">
        <v>4.025421E8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110.0</v>
      </c>
      <c r="F93" s="22" t="n">
        <f>0</f>
        <v>0.0</v>
      </c>
      <c r="G93" s="21" t="n">
        <v>1.726627E8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101.0</v>
      </c>
      <c r="F94" s="22" t="n">
        <f>0</f>
        <v>0.0</v>
      </c>
      <c r="G94" s="21" t="n">
        <v>1.58901E8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469.0</v>
      </c>
      <c r="F95" s="26" t="n">
        <f>0</f>
        <v>0.0</v>
      </c>
      <c r="G95" s="25" t="n">
        <v>7.341058E8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50.0</v>
      </c>
      <c r="F96" s="18" t="n">
        <f>0</f>
        <v>0.0</v>
      </c>
      <c r="G96" s="17" t="n">
        <v>1.16903E8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10.0</v>
      </c>
      <c r="F98" s="22" t="n">
        <f>0</f>
        <v>0.0</v>
      </c>
      <c r="G98" s="21" t="n">
        <v>2.3547E7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60.0</v>
      </c>
      <c r="F99" s="26" t="n">
        <f>0</f>
        <v>0.0</v>
      </c>
      <c r="G99" s="25" t="n">
        <v>1.4045E8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10.0</v>
      </c>
      <c r="F101" s="22" t="n">
        <f>0</f>
        <v>0.0</v>
      </c>
      <c r="G101" s="21" t="n">
        <v>1.7824E7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10.0</v>
      </c>
      <c r="F103" s="26" t="n">
        <f>0</f>
        <v>0.0</v>
      </c>
      <c r="G103" s="25" t="n">
        <v>1.7824E7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21959.0</v>
      </c>
      <c r="F108" s="18" t="n">
        <f>455</f>
        <v>455.0</v>
      </c>
      <c r="G108" s="17" t="n">
        <v>2.73322968E12</v>
      </c>
      <c r="H108" s="18" t="n">
        <f>56659240000</f>
        <v>5.665924E10</v>
      </c>
    </row>
    <row r="109" spans="1:8" ht="24.9" customHeight="1">
      <c r="A109" s="51"/>
      <c r="B109" s="57"/>
      <c r="C109" s="39"/>
      <c r="D109" s="20" t="s">
        <v>16</v>
      </c>
      <c r="E109" s="21" t="n">
        <v>17138.0</v>
      </c>
      <c r="F109" s="22" t="n">
        <f>1745</f>
        <v>1745.0</v>
      </c>
      <c r="G109" s="21" t="n">
        <v>2.13123496E12</v>
      </c>
      <c r="H109" s="22" t="n">
        <f>217010930000</f>
        <v>2.1701093E11</v>
      </c>
    </row>
    <row r="110" spans="1:8" ht="24.9" customHeight="1">
      <c r="A110" s="51"/>
      <c r="B110" s="57"/>
      <c r="C110" s="39"/>
      <c r="D110" s="20" t="s">
        <v>17</v>
      </c>
      <c r="E110" s="21" t="n">
        <v>14108.0</v>
      </c>
      <c r="F110" s="22" t="n">
        <f>2752</f>
        <v>2752.0</v>
      </c>
      <c r="G110" s="21" t="n">
        <v>1.75416817E12</v>
      </c>
      <c r="H110" s="22" t="n">
        <f>342163420000</f>
        <v>3.4216342E11</v>
      </c>
    </row>
    <row r="111" spans="1:8" ht="24.9" customHeight="1">
      <c r="A111" s="51"/>
      <c r="B111" s="57"/>
      <c r="C111" s="39"/>
      <c r="D111" s="24" t="s">
        <v>18</v>
      </c>
      <c r="E111" s="25" t="n">
        <v>53205.0</v>
      </c>
      <c r="F111" s="26" t="n">
        <f>4952</f>
        <v>4952.0</v>
      </c>
      <c r="G111" s="25" t="n">
        <v>6.61863281E12</v>
      </c>
      <c r="H111" s="26" t="n">
        <f>615833590000</f>
        <v>6.1583359E11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2915.0</v>
      </c>
      <c r="F113" s="22" t="n">
        <f>0</f>
        <v>0.0</v>
      </c>
      <c r="G113" s="21" t="n">
        <v>3.6251566E10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2255.0</v>
      </c>
      <c r="F114" s="22" t="n">
        <f>0</f>
        <v>0.0</v>
      </c>
      <c r="G114" s="21" t="n">
        <v>2.803787E10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5170.0</v>
      </c>
      <c r="F115" s="26" t="n">
        <f>0</f>
        <v>0.0</v>
      </c>
      <c r="G115" s="25" t="n">
        <v>6.4289436E10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531.0</v>
      </c>
      <c r="F118" s="22" t="n">
        <f>0</f>
        <v>0.0</v>
      </c>
      <c r="G118" s="21" t="n">
        <v>4.658837E9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531.0</v>
      </c>
      <c r="F119" s="26" t="n">
        <f>0</f>
        <v>0.0</v>
      </c>
      <c r="G119" s="25" t="n">
        <v>4.658837E9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34.0</v>
      </c>
      <c r="F120" s="18" t="n">
        <f>0</f>
        <v>0.0</v>
      </c>
      <c r="G120" s="17" t="n">
        <v>8.3486375E8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71.0</v>
      </c>
      <c r="F121" s="22" t="n">
        <f>0</f>
        <v>0.0</v>
      </c>
      <c r="G121" s="21" t="n">
        <v>1.74988875E9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293.0</v>
      </c>
      <c r="F122" s="22" t="n">
        <f>0</f>
        <v>0.0</v>
      </c>
      <c r="G122" s="21" t="n">
        <v>7.219475625E9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398.0</v>
      </c>
      <c r="F123" s="26" t="n">
        <f>0</f>
        <v>0.0</v>
      </c>
      <c r="G123" s="25" t="n">
        <v>9.804228125E9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6029.0</v>
      </c>
      <c r="F124" s="18" t="n">
        <f>0</f>
        <v>0.0</v>
      </c>
      <c r="G124" s="17" t="n">
        <v>1.30503035E11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1443.0</v>
      </c>
      <c r="F125" s="22" t="n">
        <f>0</f>
        <v>0.0</v>
      </c>
      <c r="G125" s="21" t="n">
        <v>3.1156309E10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2731.0</v>
      </c>
      <c r="F126" s="22" t="n">
        <f>4</f>
        <v>4.0</v>
      </c>
      <c r="G126" s="21" t="n">
        <v>5.942766E10</v>
      </c>
      <c r="H126" s="22" t="n">
        <f>85272000</f>
        <v>8.5272E7</v>
      </c>
    </row>
    <row r="127" spans="1:8" ht="24.9" customHeight="1">
      <c r="A127" s="51"/>
      <c r="B127" s="57"/>
      <c r="C127" s="39"/>
      <c r="D127" s="24" t="s">
        <v>18</v>
      </c>
      <c r="E127" s="25" t="n">
        <v>10203.0</v>
      </c>
      <c r="F127" s="26" t="n">
        <f>4</f>
        <v>4.0</v>
      </c>
      <c r="G127" s="25" t="n">
        <v>2.21087004E11</v>
      </c>
      <c r="H127" s="26" t="n">
        <f>85272000</f>
        <v>8.5272E7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68.0</v>
      </c>
      <c r="F128" s="18" t="n">
        <f>0</f>
        <v>0.0</v>
      </c>
      <c r="G128" s="17" t="n">
        <v>1.455443E8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49.0</v>
      </c>
      <c r="F129" s="22" t="n">
        <f>0</f>
        <v>0.0</v>
      </c>
      <c r="G129" s="21" t="n">
        <v>1.041869E8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321.0</v>
      </c>
      <c r="F130" s="22" t="n">
        <f>0</f>
        <v>0.0</v>
      </c>
      <c r="G130" s="21" t="n">
        <v>6.904564E8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438.0</v>
      </c>
      <c r="F131" s="26" t="n">
        <f>0</f>
        <v>0.0</v>
      </c>
      <c r="G131" s="25" t="n">
        <v>9.401876E8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5657.0</v>
      </c>
      <c r="F132" s="18" t="n">
        <f>0</f>
        <v>0.0</v>
      </c>
      <c r="G132" s="17" t="n">
        <v>1.22836655E10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1919.0</v>
      </c>
      <c r="F133" s="22" t="n">
        <f>0</f>
        <v>0.0</v>
      </c>
      <c r="G133" s="21" t="n">
        <v>4.1533628E9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2885.0</v>
      </c>
      <c r="F134" s="22" t="n">
        <f>40</f>
        <v>40.0</v>
      </c>
      <c r="G134" s="21" t="n">
        <v>6.3007943E9</v>
      </c>
      <c r="H134" s="22" t="n">
        <f>85272000</f>
        <v>8.5272E7</v>
      </c>
    </row>
    <row r="135" spans="1:8" ht="24.9" customHeight="1">
      <c r="A135" s="51"/>
      <c r="B135" s="57"/>
      <c r="C135" s="39"/>
      <c r="D135" s="24" t="s">
        <v>18</v>
      </c>
      <c r="E135" s="25" t="n">
        <v>10461.0</v>
      </c>
      <c r="F135" s="26" t="n">
        <f>40</f>
        <v>40.0</v>
      </c>
      <c r="G135" s="25" t="n">
        <v>2.27378226E10</v>
      </c>
      <c r="H135" s="26" t="n">
        <f>85272000</f>
        <v>8.5272E7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24.0</v>
      </c>
      <c r="F136" s="18" t="n">
        <f>0</f>
        <v>0.0</v>
      </c>
      <c r="G136" s="17" t="n">
        <v>5.05662E7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11.0</v>
      </c>
      <c r="F137" s="22" t="n">
        <f>0</f>
        <v>0.0</v>
      </c>
      <c r="G137" s="21" t="n">
        <v>2.31724E7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40.0</v>
      </c>
      <c r="F138" s="22" t="n">
        <f>0</f>
        <v>0.0</v>
      </c>
      <c r="G138" s="21" t="n">
        <v>8.47608E7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75.0</v>
      </c>
      <c r="F139" s="26" t="n">
        <f>0</f>
        <v>0.0</v>
      </c>
      <c r="G139" s="25" t="n">
        <v>1.584994E8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975.0</v>
      </c>
      <c r="F144" s="18" t="n">
        <f>0</f>
        <v>0.0</v>
      </c>
      <c r="G144" s="17" t="n">
        <v>4.1110785E9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542.0</v>
      </c>
      <c r="F145" s="22" t="n">
        <f>0</f>
        <v>0.0</v>
      </c>
      <c r="G145" s="21" t="n">
        <v>2.291753E9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992.0</v>
      </c>
      <c r="F146" s="22" t="n">
        <f>0</f>
        <v>0.0</v>
      </c>
      <c r="G146" s="21" t="n">
        <v>4.244609E9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2509.0</v>
      </c>
      <c r="F147" s="26" t="n">
        <f>0</f>
        <v>0.0</v>
      </c>
      <c r="G147" s="25" t="n">
        <v>1.06474405E10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243.0</v>
      </c>
      <c r="F148" s="18" t="n">
        <f>0</f>
        <v>0.0</v>
      </c>
      <c r="G148" s="17" t="n">
        <v>2.115164E8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153.0</v>
      </c>
      <c r="F149" s="22" t="n">
        <f>0</f>
        <v>0.0</v>
      </c>
      <c r="G149" s="21" t="n">
        <v>1.323706E8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258.0</v>
      </c>
      <c r="F150" s="22" t="n">
        <f>0</f>
        <v>0.0</v>
      </c>
      <c r="G150" s="21" t="n">
        <v>2.268927E8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654.0</v>
      </c>
      <c r="F151" s="26" t="n">
        <f>0</f>
        <v>0.0</v>
      </c>
      <c r="G151" s="25" t="n">
        <v>5.707797E8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293.0</v>
      </c>
      <c r="F152" s="18" t="n">
        <f>0</f>
        <v>0.0</v>
      </c>
      <c r="G152" s="17" t="n">
        <v>2.4788255E8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103.0</v>
      </c>
      <c r="F153" s="22" t="n">
        <f>0</f>
        <v>0.0</v>
      </c>
      <c r="G153" s="21" t="n">
        <v>8.699155E7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356.0</v>
      </c>
      <c r="F154" s="22" t="n">
        <f>0</f>
        <v>0.0</v>
      </c>
      <c r="G154" s="21" t="n">
        <v>3.0537225E8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752.0</v>
      </c>
      <c r="F155" s="26" t="n">
        <f>0</f>
        <v>0.0</v>
      </c>
      <c r="G155" s="25" t="n">
        <v>6.4024635E8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399.0</v>
      </c>
      <c r="F156" s="18" t="n">
        <f>0</f>
        <v>0.0</v>
      </c>
      <c r="G156" s="17" t="n">
        <v>3.419503E8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90.0</v>
      </c>
      <c r="F157" s="22" t="n">
        <f>0</f>
        <v>0.0</v>
      </c>
      <c r="G157" s="21" t="n">
        <v>7.65878E7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205.0</v>
      </c>
      <c r="F158" s="22" t="n">
        <f>0</f>
        <v>0.0</v>
      </c>
      <c r="G158" s="21" t="n">
        <v>1.779828E8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694.0</v>
      </c>
      <c r="F159" s="26" t="n">
        <f>0</f>
        <v>0.0</v>
      </c>
      <c r="G159" s="25" t="n">
        <v>5.965209E8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308.0</v>
      </c>
      <c r="F168" s="18" t="n">
        <f>0</f>
        <v>0.0</v>
      </c>
      <c r="G168" s="17" t="n">
        <v>6.946395E8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110.0</v>
      </c>
      <c r="F169" s="22" t="n">
        <f>0</f>
        <v>0.0</v>
      </c>
      <c r="G169" s="21" t="n">
        <v>2.486215E8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1036.0</v>
      </c>
      <c r="F170" s="22" t="n">
        <f>0</f>
        <v>0.0</v>
      </c>
      <c r="G170" s="21" t="n">
        <v>2.3545315E9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1454.0</v>
      </c>
      <c r="F171" s="26" t="n">
        <f>0</f>
        <v>0.0</v>
      </c>
      <c r="G171" s="25" t="n">
        <v>3.2977925E9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28.0</v>
      </c>
      <c r="F178" s="22" t="n">
        <f>0</f>
        <v>0.0</v>
      </c>
      <c r="G178" s="21" t="n">
        <v>5.6236E7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28.0</v>
      </c>
      <c r="F179" s="26" t="n">
        <f>0</f>
        <v>0.0</v>
      </c>
      <c r="G179" s="25" t="n">
        <v>5.6236E7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260.0</v>
      </c>
      <c r="F204" s="18" t="n">
        <f>0</f>
        <v>0.0</v>
      </c>
      <c r="G204" s="17" t="n">
        <v>1.13008E9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264.0</v>
      </c>
      <c r="F205" s="22" t="n">
        <f>0</f>
        <v>0.0</v>
      </c>
      <c r="G205" s="21" t="n">
        <v>1.1513725E9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1609.0</v>
      </c>
      <c r="F206" s="22" t="n">
        <f>0</f>
        <v>0.0</v>
      </c>
      <c r="G206" s="21" t="n">
        <v>7.0646265E9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2133.0</v>
      </c>
      <c r="F207" s="26" t="n">
        <f>0</f>
        <v>0.0</v>
      </c>
      <c r="G207" s="25" t="n">
        <v>9.346079E9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200.0</v>
      </c>
      <c r="F210" s="22" t="n">
        <f>200</f>
        <v>200.0</v>
      </c>
      <c r="G210" s="21" t="n">
        <v>3.62328E8</v>
      </c>
      <c r="H210" s="22" t="n">
        <f>362328000</f>
        <v>3.62328E8</v>
      </c>
    </row>
    <row r="211" spans="1:8" ht="24.9" customHeight="1">
      <c r="A211" s="57"/>
      <c r="B211" s="59"/>
      <c r="C211" s="39"/>
      <c r="D211" s="24" t="s">
        <v>18</v>
      </c>
      <c r="E211" s="25" t="n">
        <v>200.0</v>
      </c>
      <c r="F211" s="26" t="n">
        <f>200</f>
        <v>200.0</v>
      </c>
      <c r="G211" s="25" t="n">
        <v>3.62328E8</v>
      </c>
      <c r="H211" s="26" t="n">
        <f>362328000</f>
        <v>3.62328E8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50.0</v>
      </c>
      <c r="F212" s="18" t="n">
        <f>50</f>
        <v>50.0</v>
      </c>
      <c r="G212" s="17" t="n">
        <v>5.868E7</v>
      </c>
      <c r="H212" s="18" t="n">
        <f>58680000</f>
        <v>5.868E7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50.0</v>
      </c>
      <c r="F215" s="26" t="n">
        <f>50</f>
        <v>50.0</v>
      </c>
      <c r="G215" s="25" t="n">
        <v>5.868E7</v>
      </c>
      <c r="H215" s="26" t="n">
        <f>58680000</f>
        <v>5.868E7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90.0</v>
      </c>
      <c r="F272" s="18" t="n">
        <f>90</f>
        <v>90.0</v>
      </c>
      <c r="G272" s="17" t="n">
        <v>3.1815E8</v>
      </c>
      <c r="H272" s="18" t="n">
        <f>318150000</f>
        <v>3.1815E8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90.0</v>
      </c>
      <c r="F275" s="26" t="n">
        <f>90</f>
        <v>90.0</v>
      </c>
      <c r="G275" s="25" t="n">
        <v>3.1815E8</v>
      </c>
      <c r="H275" s="26" t="n">
        <f>318150000</f>
        <v>3.1815E8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46296.0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46296.0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4913</f>
        <v>4913.0</v>
      </c>
      <c r="E12" s="35" t="n">
        <f>1829</f>
        <v>1829.0</v>
      </c>
      <c r="F12" s="17" t="n">
        <f>3773</f>
        <v>3773.0</v>
      </c>
      <c r="G12" s="35" t="n">
        <f>1175</f>
        <v>1175.0</v>
      </c>
      <c r="H12" s="17" t="n">
        <f>8686</f>
        <v>8686.0</v>
      </c>
      <c r="I12" s="35" t="n">
        <f>3004</f>
        <v>3004.0</v>
      </c>
      <c r="J12" s="17" t="n">
        <f>926657060</f>
        <v>9.2665706E8</v>
      </c>
      <c r="K12" s="35" t="n">
        <f>476253060</f>
        <v>4.7625306E8</v>
      </c>
      <c r="L12" s="17" t="n">
        <f>1534662790</f>
        <v>1.53466279E9</v>
      </c>
      <c r="M12" s="35" t="n">
        <f>971780790</f>
        <v>9.7178079E8</v>
      </c>
      <c r="N12" s="17" t="n">
        <f>2461319850</f>
        <v>2.46131985E9</v>
      </c>
      <c r="O12" s="35" t="n">
        <f>1448033850</f>
        <v>1.44803385E9</v>
      </c>
    </row>
    <row r="13" spans="1:15" ht="24.9" customHeight="1">
      <c r="A13" s="38"/>
      <c r="B13" s="62"/>
      <c r="C13" s="20" t="s">
        <v>16</v>
      </c>
      <c r="D13" s="21" t="n">
        <f>5864</f>
        <v>5864.0</v>
      </c>
      <c r="E13" s="36" t="n">
        <f>2467</f>
        <v>2467.0</v>
      </c>
      <c r="F13" s="21" t="n">
        <f>6570</f>
        <v>6570.0</v>
      </c>
      <c r="G13" s="36" t="n">
        <f>2923</f>
        <v>2923.0</v>
      </c>
      <c r="H13" s="21" t="n">
        <f>12434</f>
        <v>12434.0</v>
      </c>
      <c r="I13" s="36" t="n">
        <f>5390</f>
        <v>5390.0</v>
      </c>
      <c r="J13" s="21" t="n">
        <f>3030924280</f>
        <v>3.03092428E9</v>
      </c>
      <c r="K13" s="36" t="n">
        <f>2250776280</f>
        <v>2.25077628E9</v>
      </c>
      <c r="L13" s="21" t="n">
        <f>4114483520</f>
        <v>4.11448352E9</v>
      </c>
      <c r="M13" s="36" t="n">
        <f>3259067520</f>
        <v>3.25906752E9</v>
      </c>
      <c r="N13" s="21" t="n">
        <f>7145407800</f>
        <v>7.1454078E9</v>
      </c>
      <c r="O13" s="36" t="n">
        <f>5509843800</f>
        <v>5.5098438E9</v>
      </c>
    </row>
    <row r="14" spans="1:15" ht="24.9" customHeight="1">
      <c r="A14" s="38"/>
      <c r="B14" s="62"/>
      <c r="C14" s="20" t="s">
        <v>17</v>
      </c>
      <c r="D14" s="21" t="n">
        <f>30245</f>
        <v>30245.0</v>
      </c>
      <c r="E14" s="36" t="n">
        <f>22108</f>
        <v>22108.0</v>
      </c>
      <c r="F14" s="21" t="n">
        <f>18353</f>
        <v>18353.0</v>
      </c>
      <c r="G14" s="36" t="n">
        <f>10917</f>
        <v>10917.0</v>
      </c>
      <c r="H14" s="21" t="n">
        <f>48598</f>
        <v>48598.0</v>
      </c>
      <c r="I14" s="36" t="n">
        <f>33025</f>
        <v>33025.0</v>
      </c>
      <c r="J14" s="21" t="n">
        <f>13086941490</f>
        <v>1.308694149E10</v>
      </c>
      <c r="K14" s="36" t="n">
        <f>11103873490</f>
        <v>1.110387349E10</v>
      </c>
      <c r="L14" s="21" t="n">
        <f>12326831434</f>
        <v>1.2326831434E10</v>
      </c>
      <c r="M14" s="36" t="n">
        <f>10200400434</f>
        <v>1.0200400434E10</v>
      </c>
      <c r="N14" s="21" t="n">
        <f>25413772924</f>
        <v>2.5413772924E10</v>
      </c>
      <c r="O14" s="36" t="n">
        <f>21304273924</f>
        <v>2.1304273924E10</v>
      </c>
    </row>
    <row r="15" spans="1:15" ht="24.9" customHeight="1">
      <c r="A15" s="38"/>
      <c r="B15" s="62"/>
      <c r="C15" s="24" t="s">
        <v>18</v>
      </c>
      <c r="D15" s="25" t="n">
        <f>41022</f>
        <v>41022.0</v>
      </c>
      <c r="E15" s="37" t="n">
        <f>26404</f>
        <v>26404.0</v>
      </c>
      <c r="F15" s="25" t="n">
        <f>28696</f>
        <v>28696.0</v>
      </c>
      <c r="G15" s="37" t="n">
        <f>15015</f>
        <v>15015.0</v>
      </c>
      <c r="H15" s="25" t="n">
        <f>69718</f>
        <v>69718.0</v>
      </c>
      <c r="I15" s="37" t="n">
        <f>41419</f>
        <v>41419.0</v>
      </c>
      <c r="J15" s="25" t="n">
        <f>17044522830</f>
        <v>1.704452283E10</v>
      </c>
      <c r="K15" s="37" t="n">
        <f>13830902830</f>
        <v>1.383090283E10</v>
      </c>
      <c r="L15" s="25" t="n">
        <f>17975977744</f>
        <v>1.7975977744E10</v>
      </c>
      <c r="M15" s="37" t="n">
        <f>14431248744</f>
        <v>1.4431248744E10</v>
      </c>
      <c r="N15" s="25" t="n">
        <f>35020500574</f>
        <v>3.5020500574E10</v>
      </c>
      <c r="O15" s="37" t="n">
        <f>28262151574</f>
        <v>2.8262151574E10</v>
      </c>
    </row>
    <row r="16" spans="1:15" ht="24.9" customHeight="1">
      <c r="A16" s="38"/>
      <c r="B16" s="61" t="s">
        <v>105</v>
      </c>
      <c r="C16" s="16" t="s">
        <v>15</v>
      </c>
      <c r="D16" s="17" t="n">
        <f>14904</f>
        <v>14904.0</v>
      </c>
      <c r="E16" s="35" t="n">
        <f>840</f>
        <v>840.0</v>
      </c>
      <c r="F16" s="17" t="n">
        <f>8530</f>
        <v>8530.0</v>
      </c>
      <c r="G16" s="35" t="n">
        <f>140</f>
        <v>140.0</v>
      </c>
      <c r="H16" s="17" t="n">
        <f>23434</f>
        <v>23434.0</v>
      </c>
      <c r="I16" s="35" t="n">
        <f>980</f>
        <v>980.0</v>
      </c>
      <c r="J16" s="17" t="n">
        <f>310089040</f>
        <v>3.1008904E8</v>
      </c>
      <c r="K16" s="35" t="n">
        <f>3266040</f>
        <v>3266040.0</v>
      </c>
      <c r="L16" s="17" t="n">
        <f>289800190</f>
        <v>2.8980019E8</v>
      </c>
      <c r="M16" s="35" t="n">
        <f>1633690</f>
        <v>1633690.0</v>
      </c>
      <c r="N16" s="17" t="n">
        <f>599889230</f>
        <v>5.9988923E8</v>
      </c>
      <c r="O16" s="35" t="n">
        <f>4899730</f>
        <v>4899730.0</v>
      </c>
    </row>
    <row r="17" spans="1:15" ht="24.9" customHeight="1">
      <c r="A17" s="38"/>
      <c r="B17" s="62"/>
      <c r="C17" s="20" t="s">
        <v>16</v>
      </c>
      <c r="D17" s="21" t="n">
        <f>12163</f>
        <v>12163.0</v>
      </c>
      <c r="E17" s="36" t="n">
        <f>1450</f>
        <v>1450.0</v>
      </c>
      <c r="F17" s="21" t="n">
        <f>8050</f>
        <v>8050.0</v>
      </c>
      <c r="G17" s="36" t="n">
        <f>600</f>
        <v>600.0</v>
      </c>
      <c r="H17" s="21" t="n">
        <f>20213</f>
        <v>20213.0</v>
      </c>
      <c r="I17" s="36" t="n">
        <f>2050</f>
        <v>2050.0</v>
      </c>
      <c r="J17" s="21" t="n">
        <f>169663390</f>
        <v>1.6966339E8</v>
      </c>
      <c r="K17" s="36" t="n">
        <f>6925390</f>
        <v>6925390.0</v>
      </c>
      <c r="L17" s="21" t="n">
        <f>209276020</f>
        <v>2.0927602E8</v>
      </c>
      <c r="M17" s="36" t="n">
        <f>14705620</f>
        <v>1.470562E7</v>
      </c>
      <c r="N17" s="21" t="n">
        <f>378939410</f>
        <v>3.7893941E8</v>
      </c>
      <c r="O17" s="36" t="n">
        <f>21631010</f>
        <v>2.163101E7</v>
      </c>
    </row>
    <row r="18" spans="1:15" ht="24.9" customHeight="1">
      <c r="A18" s="38"/>
      <c r="B18" s="62"/>
      <c r="C18" s="20" t="s">
        <v>17</v>
      </c>
      <c r="D18" s="21" t="n">
        <f>17485</f>
        <v>17485.0</v>
      </c>
      <c r="E18" s="36" t="n">
        <f>1880</f>
        <v>1880.0</v>
      </c>
      <c r="F18" s="21" t="n">
        <f>11520</f>
        <v>11520.0</v>
      </c>
      <c r="G18" s="36" t="n">
        <f>620</f>
        <v>620.0</v>
      </c>
      <c r="H18" s="21" t="n">
        <f>29005</f>
        <v>29005.0</v>
      </c>
      <c r="I18" s="36" t="n">
        <f>2500</f>
        <v>2500.0</v>
      </c>
      <c r="J18" s="21" t="n">
        <f>267139980</f>
        <v>2.6713998E8</v>
      </c>
      <c r="K18" s="36" t="n">
        <f>9526680</f>
        <v>9526680.0</v>
      </c>
      <c r="L18" s="21" t="n">
        <f>540583150</f>
        <v>5.4058315E8</v>
      </c>
      <c r="M18" s="36" t="n">
        <f>15804150</f>
        <v>1.580415E7</v>
      </c>
      <c r="N18" s="21" t="n">
        <f>807723130</f>
        <v>8.0772313E8</v>
      </c>
      <c r="O18" s="36" t="n">
        <f>25330830</f>
        <v>2.533083E7</v>
      </c>
    </row>
    <row r="19" spans="1:15" ht="24.9" customHeight="1">
      <c r="A19" s="38"/>
      <c r="B19" s="62"/>
      <c r="C19" s="24" t="s">
        <v>18</v>
      </c>
      <c r="D19" s="25" t="n">
        <f>44552</f>
        <v>44552.0</v>
      </c>
      <c r="E19" s="37" t="n">
        <f>4170</f>
        <v>4170.0</v>
      </c>
      <c r="F19" s="25" t="n">
        <f>28100</f>
        <v>28100.0</v>
      </c>
      <c r="G19" s="37" t="n">
        <f>1360</f>
        <v>1360.0</v>
      </c>
      <c r="H19" s="25" t="n">
        <f>72652</f>
        <v>72652.0</v>
      </c>
      <c r="I19" s="37" t="n">
        <f>5530</f>
        <v>5530.0</v>
      </c>
      <c r="J19" s="25" t="n">
        <f>746892410</f>
        <v>7.4689241E8</v>
      </c>
      <c r="K19" s="37" t="n">
        <f>19718110</f>
        <v>1.971811E7</v>
      </c>
      <c r="L19" s="25" t="n">
        <f>1039659360</f>
        <v>1.03965936E9</v>
      </c>
      <c r="M19" s="37" t="n">
        <f>32143460</f>
        <v>3.214346E7</v>
      </c>
      <c r="N19" s="25" t="n">
        <f>1786551770</f>
        <v>1.78655177E9</v>
      </c>
      <c r="O19" s="37" t="n">
        <f>51861570</f>
        <v>5.186157E7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10</f>
        <v>10.0</v>
      </c>
      <c r="E21" s="36" t="n">
        <f>0</f>
        <v>0.0</v>
      </c>
      <c r="F21" s="21" t="n">
        <f>15</f>
        <v>15.0</v>
      </c>
      <c r="G21" s="36" t="n">
        <f>0</f>
        <v>0.0</v>
      </c>
      <c r="H21" s="21" t="n">
        <f>25</f>
        <v>25.0</v>
      </c>
      <c r="I21" s="36" t="n">
        <f>0</f>
        <v>0.0</v>
      </c>
      <c r="J21" s="21" t="n">
        <f>1000000</f>
        <v>1000000.0</v>
      </c>
      <c r="K21" s="36" t="n">
        <f>0</f>
        <v>0.0</v>
      </c>
      <c r="L21" s="21" t="n">
        <f>4950000</f>
        <v>4950000.0</v>
      </c>
      <c r="M21" s="36" t="n">
        <f>0</f>
        <v>0.0</v>
      </c>
      <c r="N21" s="21" t="n">
        <f>5950000</f>
        <v>5950000.0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1470</f>
        <v>1470.0</v>
      </c>
      <c r="E22" s="36" t="n">
        <f>1470</f>
        <v>1470.0</v>
      </c>
      <c r="F22" s="21" t="n">
        <f>1070</f>
        <v>1070.0</v>
      </c>
      <c r="G22" s="36" t="n">
        <f>1070</f>
        <v>1070.0</v>
      </c>
      <c r="H22" s="21" t="n">
        <f>2540</f>
        <v>2540.0</v>
      </c>
      <c r="I22" s="36" t="n">
        <f>2540</f>
        <v>2540.0</v>
      </c>
      <c r="J22" s="21" t="n">
        <f>915203000</f>
        <v>9.15203E8</v>
      </c>
      <c r="K22" s="36" t="n">
        <f>915203000</f>
        <v>9.15203E8</v>
      </c>
      <c r="L22" s="21" t="n">
        <f>446387000</f>
        <v>4.46387E8</v>
      </c>
      <c r="M22" s="36" t="n">
        <f>446387000</f>
        <v>4.46387E8</v>
      </c>
      <c r="N22" s="21" t="n">
        <f>1361590000</f>
        <v>1.36159E9</v>
      </c>
      <c r="O22" s="36" t="n">
        <f>1361590000</f>
        <v>1.36159E9</v>
      </c>
    </row>
    <row r="23" spans="1:15" ht="24.9" customHeight="1">
      <c r="A23" s="38"/>
      <c r="B23" s="62"/>
      <c r="C23" s="24" t="s">
        <v>18</v>
      </c>
      <c r="D23" s="25" t="n">
        <f>1480</f>
        <v>1480.0</v>
      </c>
      <c r="E23" s="37" t="n">
        <f>1470</f>
        <v>1470.0</v>
      </c>
      <c r="F23" s="25" t="n">
        <f>1085</f>
        <v>1085.0</v>
      </c>
      <c r="G23" s="37" t="n">
        <f>1070</f>
        <v>1070.0</v>
      </c>
      <c r="H23" s="25" t="n">
        <f>2565</f>
        <v>2565.0</v>
      </c>
      <c r="I23" s="37" t="n">
        <f>2540</f>
        <v>2540.0</v>
      </c>
      <c r="J23" s="25" t="n">
        <f>916203000</f>
        <v>9.16203E8</v>
      </c>
      <c r="K23" s="37" t="n">
        <f>915203000</f>
        <v>9.15203E8</v>
      </c>
      <c r="L23" s="25" t="n">
        <f>451337000</f>
        <v>4.51337E8</v>
      </c>
      <c r="M23" s="37" t="n">
        <f>446387000</f>
        <v>4.46387E8</v>
      </c>
      <c r="N23" s="25" t="n">
        <f>1367540000</f>
        <v>1.36754E9</v>
      </c>
      <c r="O23" s="37" t="n">
        <f>1361590000</f>
        <v>1.36159E9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10</f>
        <v>10.0</v>
      </c>
      <c r="E37" s="22" t="n">
        <f>10</f>
        <v>10.0</v>
      </c>
      <c r="F37" s="21" t="n">
        <f>191</f>
        <v>191.0</v>
      </c>
      <c r="G37" s="22" t="n">
        <f>0</f>
        <v>0.0</v>
      </c>
      <c r="H37" s="21" t="n">
        <f>201</f>
        <v>201.0</v>
      </c>
      <c r="I37" s="22" t="n">
        <f>10</f>
        <v>10.0</v>
      </c>
      <c r="J37" s="21" t="n">
        <f>1200000</f>
        <v>1200000.0</v>
      </c>
      <c r="K37" s="22" t="n">
        <f>1200000</f>
        <v>1200000.0</v>
      </c>
      <c r="L37" s="21" t="n">
        <f>17640000</f>
        <v>1.764E7</v>
      </c>
      <c r="M37" s="22" t="n">
        <f>0</f>
        <v>0.0</v>
      </c>
      <c r="N37" s="21" t="n">
        <f>18840000</f>
        <v>1.884E7</v>
      </c>
      <c r="O37" s="22" t="n">
        <f>1200000</f>
        <v>1200000.0</v>
      </c>
    </row>
    <row r="38" spans="1:15" ht="24.9" customHeight="1">
      <c r="A38" s="38"/>
      <c r="B38" s="62"/>
      <c r="C38" s="20" t="s">
        <v>17</v>
      </c>
      <c r="D38" s="21" t="n">
        <f>0</f>
        <v>0.0</v>
      </c>
      <c r="E38" s="36" t="n">
        <f>0</f>
        <v>0.0</v>
      </c>
      <c r="F38" s="21" t="n">
        <f>55</f>
        <v>55.0</v>
      </c>
      <c r="G38" s="36" t="n">
        <f>0</f>
        <v>0.0</v>
      </c>
      <c r="H38" s="21" t="n">
        <f>55</f>
        <v>55.0</v>
      </c>
      <c r="I38" s="36" t="n">
        <f>0</f>
        <v>0.0</v>
      </c>
      <c r="J38" s="21" t="n">
        <f>0</f>
        <v>0.0</v>
      </c>
      <c r="K38" s="36" t="n">
        <f>0</f>
        <v>0.0</v>
      </c>
      <c r="L38" s="21" t="n">
        <f>5250000</f>
        <v>5250000.0</v>
      </c>
      <c r="M38" s="36" t="n">
        <f>0</f>
        <v>0.0</v>
      </c>
      <c r="N38" s="21" t="n">
        <f>5250000</f>
        <v>5250000.0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10</f>
        <v>10.0</v>
      </c>
      <c r="E39" s="37" t="n">
        <f>10</f>
        <v>10.0</v>
      </c>
      <c r="F39" s="25" t="n">
        <f>246</f>
        <v>246.0</v>
      </c>
      <c r="G39" s="37" t="n">
        <f>0</f>
        <v>0.0</v>
      </c>
      <c r="H39" s="25" t="n">
        <f>256</f>
        <v>256.0</v>
      </c>
      <c r="I39" s="37" t="n">
        <f>10</f>
        <v>10.0</v>
      </c>
      <c r="J39" s="25" t="n">
        <f>1200000</f>
        <v>1200000.0</v>
      </c>
      <c r="K39" s="37" t="n">
        <f>1200000</f>
        <v>1200000.0</v>
      </c>
      <c r="L39" s="25" t="n">
        <f>22890000</f>
        <v>2.289E7</v>
      </c>
      <c r="M39" s="37" t="n">
        <f>0</f>
        <v>0.0</v>
      </c>
      <c r="N39" s="25" t="n">
        <f>24090000</f>
        <v>2.409E7</v>
      </c>
      <c r="O39" s="37" t="n">
        <f>1200000</f>
        <v>1200000.0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11462</f>
        <v>11462.0</v>
      </c>
      <c r="E41" s="36" t="n">
        <f>100</f>
        <v>100.0</v>
      </c>
      <c r="F41" s="21" t="n">
        <f>11743</f>
        <v>11743.0</v>
      </c>
      <c r="G41" s="36" t="n">
        <f>0</f>
        <v>0.0</v>
      </c>
      <c r="H41" s="21" t="n">
        <f>23205</f>
        <v>23205.0</v>
      </c>
      <c r="I41" s="36" t="n">
        <f>100</f>
        <v>100.0</v>
      </c>
      <c r="J41" s="21" t="n">
        <f>22061218</f>
        <v>2.2061218E7</v>
      </c>
      <c r="K41" s="36" t="n">
        <f>2800000</f>
        <v>2800000.0</v>
      </c>
      <c r="L41" s="21" t="n">
        <f>6836824</f>
        <v>6836824.0</v>
      </c>
      <c r="M41" s="36" t="n">
        <f>0</f>
        <v>0.0</v>
      </c>
      <c r="N41" s="21" t="n">
        <f>28898042</f>
        <v>2.8898042E7</v>
      </c>
      <c r="O41" s="36" t="n">
        <f>2800000</f>
        <v>2800000.0</v>
      </c>
    </row>
    <row r="42" spans="1:15" ht="24.9" customHeight="1">
      <c r="A42" s="38"/>
      <c r="B42" s="62"/>
      <c r="C42" s="20" t="s">
        <v>17</v>
      </c>
      <c r="D42" s="21" t="n">
        <f>11291</f>
        <v>11291.0</v>
      </c>
      <c r="E42" s="36" t="n">
        <f>0</f>
        <v>0.0</v>
      </c>
      <c r="F42" s="21" t="n">
        <f>4302</f>
        <v>4302.0</v>
      </c>
      <c r="G42" s="36" t="n">
        <f>0</f>
        <v>0.0</v>
      </c>
      <c r="H42" s="21" t="n">
        <f>15593</f>
        <v>15593.0</v>
      </c>
      <c r="I42" s="36" t="n">
        <f>0</f>
        <v>0.0</v>
      </c>
      <c r="J42" s="21" t="n">
        <f>23374077</f>
        <v>2.3374077E7</v>
      </c>
      <c r="K42" s="36" t="n">
        <f>0</f>
        <v>0.0</v>
      </c>
      <c r="L42" s="21" t="n">
        <f>7025781</f>
        <v>7025781.0</v>
      </c>
      <c r="M42" s="36" t="n">
        <f>0</f>
        <v>0.0</v>
      </c>
      <c r="N42" s="21" t="n">
        <f>30399858</f>
        <v>3.0399858E7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22753</f>
        <v>22753.0</v>
      </c>
      <c r="E43" s="37" t="n">
        <f>100</f>
        <v>100.0</v>
      </c>
      <c r="F43" s="25" t="n">
        <f>16045</f>
        <v>16045.0</v>
      </c>
      <c r="G43" s="37" t="n">
        <f>0</f>
        <v>0.0</v>
      </c>
      <c r="H43" s="25" t="n">
        <f>38798</f>
        <v>38798.0</v>
      </c>
      <c r="I43" s="37" t="n">
        <f>100</f>
        <v>100.0</v>
      </c>
      <c r="J43" s="25" t="n">
        <f>45435295</f>
        <v>4.5435295E7</v>
      </c>
      <c r="K43" s="37" t="n">
        <f>2800000</f>
        <v>2800000.0</v>
      </c>
      <c r="L43" s="25" t="n">
        <f>13862605</f>
        <v>1.3862605E7</v>
      </c>
      <c r="M43" s="37" t="n">
        <f>0</f>
        <v>0.0</v>
      </c>
      <c r="N43" s="25" t="n">
        <f>59297900</f>
        <v>5.92979E7</v>
      </c>
      <c r="O43" s="37" t="n">
        <f>2800000</f>
        <v>2800000.0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