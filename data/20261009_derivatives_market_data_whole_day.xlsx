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<sst xmlns="http://schemas.openxmlformats.org/spreadsheetml/2006/main" count="528" uniqueCount="129">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</sst>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DATE(2026,10,09)</f>
        <v>46304.0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DATE(2026,10,09)</f>
        <v>46304.0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964931.0</f>
        <v>964931.0</v>
      </c>
      <c r="E12" s="18" t="n">
        <f>39781.0</f>
        <v>39781.0</v>
      </c>
      <c r="F12" s="19" t="n">
        <f>1.0</f>
        <v>1.0</v>
      </c>
      <c r="G12" s="17" t="n">
        <f>6238053593300.0</f>
        <v>6.2380535933E12</v>
      </c>
      <c r="H12" s="18" t="n">
        <f>394089269350.0</f>
        <v>3.9408926935E11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462911.0</f>
        <v>462911.0</v>
      </c>
      <c r="E13" s="22" t="n">
        <f>20323.0</f>
        <v>20323.0</v>
      </c>
      <c r="F13" s="23" t="n">
        <f>1.0</f>
        <v>1.0</v>
      </c>
      <c r="G13" s="21" t="n">
        <f>5198445912243.0</f>
        <v>5.198445912243E12</v>
      </c>
      <c r="H13" s="22" t="n">
        <f>490343754243.0</f>
        <v>4.90343754243E11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385247.0</f>
        <v>385247.0</v>
      </c>
      <c r="E14" s="22" t="n">
        <f>32067.0</f>
        <v>32067.0</v>
      </c>
      <c r="F14" s="23" t="n">
        <f>1.0</f>
        <v>1.0</v>
      </c>
      <c r="G14" s="21" t="n">
        <f>5573074045400.0</f>
        <v>5.5730740454E12</v>
      </c>
      <c r="H14" s="22" t="n">
        <f>1135733815175.0</f>
        <v>1.135733815175E12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1813089.0</f>
        <v>1813089.0</v>
      </c>
      <c r="E15" s="26" t="n">
        <f>92171.0</f>
        <v>92171.0</v>
      </c>
      <c r="F15" s="27" t="n">
        <f>1.0</f>
        <v>1.0</v>
      </c>
      <c r="G15" s="25" t="n">
        <f>17009573550943.0</f>
        <v>1.7009573550943E13</v>
      </c>
      <c r="H15" s="26" t="n">
        <f>2020166838768.0</f>
        <v>2.020166838768E12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14302.0</f>
        <v>14302.0</v>
      </c>
      <c r="E16" s="18" t="n">
        <f>364.0</f>
        <v>364.0</v>
      </c>
      <c r="F16" s="19" t="n">
        <f>0.015</f>
        <v>0.015</v>
      </c>
      <c r="G16" s="17" t="n">
        <f>1774069520000.0</f>
        <v>1.77406952E12</v>
      </c>
      <c r="H16" s="18" t="n">
        <f>45244885000.0</f>
        <v>4.5244885E10</v>
      </c>
      <c r="I16" s="19" t="n">
        <f>0.284</f>
        <v>0.284</v>
      </c>
    </row>
    <row r="17" spans="1:9" ht="24.9" customHeight="1">
      <c r="A17" s="41"/>
      <c r="B17" s="39"/>
      <c r="C17" s="20" t="s">
        <v>16</v>
      </c>
      <c r="D17" s="21" t="n">
        <f>19351.0</f>
        <v>19351.0</v>
      </c>
      <c r="E17" s="22" t="n">
        <f>1073.0</f>
        <v>1073.0</v>
      </c>
      <c r="F17" s="23" t="n">
        <f>0.042</f>
        <v>0.042</v>
      </c>
      <c r="G17" s="21" t="n">
        <f>2087257935250.0</f>
        <v>2.08725793525E12</v>
      </c>
      <c r="H17" s="22" t="n">
        <f>133836110000.0</f>
        <v>1.3383611E11</v>
      </c>
      <c r="I17" s="23" t="n">
        <f>0.402</f>
        <v>0.402</v>
      </c>
    </row>
    <row r="18" spans="1:9" ht="24.9" customHeight="1">
      <c r="A18" s="41"/>
      <c r="B18" s="39"/>
      <c r="C18" s="20" t="s">
        <v>17</v>
      </c>
      <c r="D18" s="21" t="n">
        <f>19980.0</f>
        <v>19980.0</v>
      </c>
      <c r="E18" s="22" t="n">
        <f>2116.0</f>
        <v>2116.0</v>
      </c>
      <c r="F18" s="23" t="n">
        <f>0.052</f>
        <v>0.052</v>
      </c>
      <c r="G18" s="21" t="n">
        <f>2200821554375.0</f>
        <v>2.200821554375E12</v>
      </c>
      <c r="H18" s="22" t="n">
        <f>264280315000.0</f>
        <v>2.64280315E11</v>
      </c>
      <c r="I18" s="23" t="n">
        <f>0.395</f>
        <v>0.395</v>
      </c>
    </row>
    <row r="19" spans="1:9" ht="24.9" customHeight="1">
      <c r="A19" s="41"/>
      <c r="B19" s="39"/>
      <c r="C19" s="24" t="s">
        <v>18</v>
      </c>
      <c r="D19" s="25" t="n">
        <f>53633.0</f>
        <v>53633.0</v>
      </c>
      <c r="E19" s="26" t="n">
        <f>3553.0</f>
        <v>3553.0</v>
      </c>
      <c r="F19" s="27" t="n">
        <f>0.03</f>
        <v>0.03</v>
      </c>
      <c r="G19" s="25" t="n">
        <f>6062149009625.0</f>
        <v>6.062149009625E12</v>
      </c>
      <c r="H19" s="26" t="n">
        <f>443361310000.0</f>
        <v>4.4336131E11</v>
      </c>
      <c r="I19" s="27" t="n">
        <f>0.356</f>
        <v>0.356</v>
      </c>
    </row>
    <row r="20" spans="1:9" ht="24.9" customHeight="1">
      <c r="A20" s="41"/>
      <c r="B20" s="39" t="s">
        <v>21</v>
      </c>
      <c r="C20" s="16" t="s">
        <v>15</v>
      </c>
      <c r="D20" s="17" t="n">
        <f>934611.0</f>
        <v>934611.0</v>
      </c>
      <c r="E20" s="18" t="n">
        <f>39397.0</f>
        <v>39397.0</v>
      </c>
      <c r="F20" s="19" t="n">
        <f>0.969</f>
        <v>0.969</v>
      </c>
      <c r="G20" s="17" t="n">
        <f>4363739654800.0</f>
        <v>4.3637396548E12</v>
      </c>
      <c r="H20" s="18" t="n">
        <f>348505321950.0</f>
        <v>3.4850532195E11</v>
      </c>
      <c r="I20" s="19" t="n">
        <f>0.7</f>
        <v>0.7</v>
      </c>
    </row>
    <row r="21" spans="1:9" ht="24.9" customHeight="1">
      <c r="A21" s="41"/>
      <c r="B21" s="39"/>
      <c r="C21" s="20" t="s">
        <v>16</v>
      </c>
      <c r="D21" s="21" t="n">
        <f>436381.0</f>
        <v>436381.0</v>
      </c>
      <c r="E21" s="22" t="n">
        <f>19250.0</f>
        <v>19250.0</v>
      </c>
      <c r="F21" s="23" t="n">
        <f>0.943</f>
        <v>0.943</v>
      </c>
      <c r="G21" s="21" t="n">
        <f>3041460501393.0</f>
        <v>3.041460501393E12</v>
      </c>
      <c r="H21" s="22" t="n">
        <f>356507644243.0</f>
        <v>3.56507644243E11</v>
      </c>
      <c r="I21" s="23" t="n">
        <f>0.585</f>
        <v>0.585</v>
      </c>
    </row>
    <row r="22" spans="1:9" ht="24.9" customHeight="1">
      <c r="A22" s="41"/>
      <c r="B22" s="39"/>
      <c r="C22" s="20" t="s">
        <v>17</v>
      </c>
      <c r="D22" s="21" t="n">
        <f>351878.0</f>
        <v>351878.0</v>
      </c>
      <c r="E22" s="22" t="n">
        <f>29875.0</f>
        <v>29875.0</v>
      </c>
      <c r="F22" s="23" t="n">
        <f>0.913</f>
        <v>0.913</v>
      </c>
      <c r="G22" s="21" t="n">
        <f>3268366698825.0</f>
        <v>3.268366698825E12</v>
      </c>
      <c r="H22" s="22" t="n">
        <f>871128170175.0</f>
        <v>8.71128170175E11</v>
      </c>
      <c r="I22" s="23" t="n">
        <f>0.586</f>
        <v>0.586</v>
      </c>
    </row>
    <row r="23" spans="1:9" ht="24.9" customHeight="1">
      <c r="A23" s="41"/>
      <c r="B23" s="39"/>
      <c r="C23" s="24" t="s">
        <v>18</v>
      </c>
      <c r="D23" s="25" t="n">
        <f>1722870.0</f>
        <v>1722870.0</v>
      </c>
      <c r="E23" s="26" t="n">
        <f>88522.0</f>
        <v>88522.0</v>
      </c>
      <c r="F23" s="27" t="n">
        <f>0.95</f>
        <v>0.95</v>
      </c>
      <c r="G23" s="25" t="n">
        <f>10673566855018.0</f>
        <v>1.0673566855018E13</v>
      </c>
      <c r="H23" s="26" t="n">
        <f>1576141136368.0</f>
        <v>1.576141136368E12</v>
      </c>
      <c r="I23" s="27" t="n">
        <f>0.628</f>
        <v>0.628</v>
      </c>
    </row>
    <row r="24" spans="1:9" ht="24.9" customHeight="1">
      <c r="A24" s="41"/>
      <c r="B24" s="39" t="s">
        <v>22</v>
      </c>
      <c r="C24" s="16" t="s">
        <v>15</v>
      </c>
      <c r="D24" s="17" t="n">
        <f>15497.0</f>
        <v>15497.0</v>
      </c>
      <c r="E24" s="18" t="n">
        <f>0.0</f>
        <v>0.0</v>
      </c>
      <c r="F24" s="19" t="n">
        <f>0.016</f>
        <v>0.016</v>
      </c>
      <c r="G24" s="17" t="n">
        <f>97548963600.0</f>
        <v>9.75489636E10</v>
      </c>
      <c r="H24" s="18" t="n">
        <f>0.0</f>
        <v>0.0</v>
      </c>
      <c r="I24" s="19" t="n">
        <f>0.016</f>
        <v>0.016</v>
      </c>
    </row>
    <row r="25" spans="1:9" ht="24.9" customHeight="1">
      <c r="A25" s="41"/>
      <c r="B25" s="39"/>
      <c r="C25" s="20" t="s">
        <v>16</v>
      </c>
      <c r="D25" s="21" t="n">
        <f>7062.0</f>
        <v>7062.0</v>
      </c>
      <c r="E25" s="22" t="n">
        <f>0.0</f>
        <v>0.0</v>
      </c>
      <c r="F25" s="23" t="n">
        <f>0.015</f>
        <v>0.015</v>
      </c>
      <c r="G25" s="21" t="n">
        <f>69182065600.0</f>
        <v>6.91820656E10</v>
      </c>
      <c r="H25" s="22" t="n">
        <f>0.0</f>
        <v>0.0</v>
      </c>
      <c r="I25" s="23" t="n">
        <f>0.013</f>
        <v>0.013</v>
      </c>
    </row>
    <row r="26" spans="1:9" ht="24.9" customHeight="1">
      <c r="A26" s="41"/>
      <c r="B26" s="39"/>
      <c r="C26" s="20" t="s">
        <v>17</v>
      </c>
      <c r="D26" s="21" t="n">
        <f>9368.0</f>
        <v>9368.0</v>
      </c>
      <c r="E26" s="22" t="n">
        <f>74.0</f>
        <v>74.0</v>
      </c>
      <c r="F26" s="23" t="n">
        <f>0.024</f>
        <v>0.024</v>
      </c>
      <c r="G26" s="21" t="n">
        <f>85205364200.0</f>
        <v>8.52053642E10</v>
      </c>
      <c r="H26" s="22" t="n">
        <f>315610000.0</f>
        <v>3.1561E8</v>
      </c>
      <c r="I26" s="23" t="n">
        <f>0.015</f>
        <v>0.015</v>
      </c>
    </row>
    <row r="27" spans="1:9" ht="24.9" customHeight="1">
      <c r="A27" s="42"/>
      <c r="B27" s="39"/>
      <c r="C27" s="24" t="s">
        <v>18</v>
      </c>
      <c r="D27" s="25" t="n">
        <f>31927.0</f>
        <v>31927.0</v>
      </c>
      <c r="E27" s="26" t="n">
        <f>74.0</f>
        <v>74.0</v>
      </c>
      <c r="F27" s="27" t="n">
        <f>0.018</f>
        <v>0.018</v>
      </c>
      <c r="G27" s="25" t="n">
        <f>251936393400.0</f>
        <v>2.519363934E11</v>
      </c>
      <c r="H27" s="26" t="n">
        <f>315610000.0</f>
        <v>3.1561E8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521.0</f>
        <v>521.0</v>
      </c>
      <c r="E28" s="18" t="n">
        <f>20.0</f>
        <v>20.0</v>
      </c>
      <c r="F28" s="19" t="n">
        <f>0.001</f>
        <v>0.001</v>
      </c>
      <c r="G28" s="17" t="n">
        <f>2695454900.0</f>
        <v>2.6954549E9</v>
      </c>
      <c r="H28" s="18" t="n">
        <f>339062400.0</f>
        <v>3.390624E8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117.0</f>
        <v>117.0</v>
      </c>
      <c r="E29" s="22" t="n">
        <f>0.0</f>
        <v>0.0</v>
      </c>
      <c r="F29" s="23" t="n">
        <f>0.0</f>
        <v>0.0</v>
      </c>
      <c r="G29" s="21" t="n">
        <f>545410000.0</f>
        <v>5.4541E8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4021.0</f>
        <v>4021.0</v>
      </c>
      <c r="E30" s="22" t="n">
        <f>2.0</f>
        <v>2.0</v>
      </c>
      <c r="F30" s="23" t="n">
        <f>0.01</f>
        <v>0.01</v>
      </c>
      <c r="G30" s="21" t="n">
        <f>18680428000.0</f>
        <v>1.8680428E10</v>
      </c>
      <c r="H30" s="22" t="n">
        <f>9720000.0</f>
        <v>9720000.0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4659.0</f>
        <v>4659.0</v>
      </c>
      <c r="E31" s="26" t="n">
        <f>22.0</f>
        <v>22.0</v>
      </c>
      <c r="F31" s="27" t="n">
        <f>0.003</f>
        <v>0.003</v>
      </c>
      <c r="G31" s="25" t="n">
        <f>21921292900.0</f>
        <v>2.19212929E10</v>
      </c>
      <c r="H31" s="26" t="n">
        <f>348782400.0</f>
        <v>3.487824E8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46304.0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46304.0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12883</f>
        <v>12883.0</v>
      </c>
      <c r="E11" s="18" t="n">
        <f>2866</f>
        <v>2866.0</v>
      </c>
      <c r="F11" s="19" t="n">
        <f>1</f>
        <v>1.0</v>
      </c>
      <c r="G11" s="17" t="n">
        <f>2843562820</f>
        <v>2.84356282E9</v>
      </c>
      <c r="H11" s="18" t="n">
        <f>1381185020</f>
        <v>1.38118502E9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22233</f>
        <v>22233.0</v>
      </c>
      <c r="E12" s="22" t="n">
        <f>2305</f>
        <v>2305.0</v>
      </c>
      <c r="F12" s="23" t="n">
        <f>1</f>
        <v>1.0</v>
      </c>
      <c r="G12" s="21" t="n">
        <f>3853552454</f>
        <v>3.853552454E9</v>
      </c>
      <c r="H12" s="22" t="n">
        <f>1151635555</f>
        <v>1.151635555E9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51380</f>
        <v>51380.0</v>
      </c>
      <c r="E13" s="22" t="n">
        <f>25999</f>
        <v>25999.0</v>
      </c>
      <c r="F13" s="23" t="n">
        <f>1</f>
        <v>1.0</v>
      </c>
      <c r="G13" s="21" t="n">
        <f>33058894102</f>
        <v>3.3058894102E10</v>
      </c>
      <c r="H13" s="22" t="n">
        <f>28738321680</f>
        <v>2.873832168E10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86496</f>
        <v>86496.0</v>
      </c>
      <c r="E14" s="26" t="n">
        <f>31170</f>
        <v>31170.0</v>
      </c>
      <c r="F14" s="27" t="n">
        <f>1</f>
        <v>1.0</v>
      </c>
      <c r="G14" s="25" t="n">
        <f>39756009376</f>
        <v>3.9756009376E10</v>
      </c>
      <c r="H14" s="26" t="n">
        <f>31271142255</f>
        <v>3.1271142255E10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77</f>
        <v>77.0</v>
      </c>
      <c r="E15" s="18" t="n">
        <f>0</f>
        <v>0.0</v>
      </c>
      <c r="F15" s="19" t="n">
        <f>0.006</f>
        <v>0.006</v>
      </c>
      <c r="G15" s="17" t="n">
        <f>2880000</f>
        <v>2880000.0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83</f>
        <v>83.0</v>
      </c>
      <c r="E16" s="22" t="n">
        <f>0</f>
        <v>0.0</v>
      </c>
      <c r="F16" s="23" t="n">
        <f>0.004</f>
        <v>0.004</v>
      </c>
      <c r="G16" s="21" t="n">
        <f>11540000</f>
        <v>1.154E7</v>
      </c>
      <c r="H16" s="22" t="n">
        <f>0</f>
        <v>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158</f>
        <v>158.0</v>
      </c>
      <c r="E17" s="22" t="n">
        <f>25</f>
        <v>25.0</v>
      </c>
      <c r="F17" s="23" t="n">
        <f>0.003</f>
        <v>0.003</v>
      </c>
      <c r="G17" s="21" t="n">
        <f>36855000</f>
        <v>3.6855E7</v>
      </c>
      <c r="H17" s="22" t="n">
        <f>7125000</f>
        <v>7125000.0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318</f>
        <v>318.0</v>
      </c>
      <c r="E18" s="26" t="n">
        <f>25</f>
        <v>25.0</v>
      </c>
      <c r="F18" s="27" t="n">
        <f>0.004</f>
        <v>0.004</v>
      </c>
      <c r="G18" s="25" t="n">
        <f>51275000</f>
        <v>5.1275E7</v>
      </c>
      <c r="H18" s="26" t="n">
        <f>7125000</f>
        <v>7125000.0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12806</f>
        <v>12806.0</v>
      </c>
      <c r="E19" s="18" t="n">
        <f>2866</f>
        <v>2866.0</v>
      </c>
      <c r="F19" s="19" t="n">
        <f>0.994</f>
        <v>0.994</v>
      </c>
      <c r="G19" s="17" t="n">
        <f>2840682820</f>
        <v>2.84068282E9</v>
      </c>
      <c r="H19" s="18" t="n">
        <f>1381185020</f>
        <v>1.38118502E9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18824</f>
        <v>18824.0</v>
      </c>
      <c r="E20" s="22" t="n">
        <f>2305</f>
        <v>2305.0</v>
      </c>
      <c r="F20" s="23" t="n">
        <f>0.847</f>
        <v>0.847</v>
      </c>
      <c r="G20" s="21" t="n">
        <f>3823052555</f>
        <v>3.823052555E9</v>
      </c>
      <c r="H20" s="22" t="n">
        <f>1151635555</f>
        <v>1.151635555E9</v>
      </c>
      <c r="I20" s="23" t="n">
        <f>0.992</f>
        <v>0.992</v>
      </c>
    </row>
    <row r="21" spans="1:9" ht="24.9" customHeight="1">
      <c r="A21" s="41"/>
      <c r="B21" s="39"/>
      <c r="C21" s="20" t="s">
        <v>17</v>
      </c>
      <c r="D21" s="21" t="n">
        <f>48702</f>
        <v>48702.0</v>
      </c>
      <c r="E21" s="22" t="n">
        <f>25974</f>
        <v>25974.0</v>
      </c>
      <c r="F21" s="23" t="n">
        <f>0.948</f>
        <v>0.948</v>
      </c>
      <c r="G21" s="21" t="n">
        <f>33007979880</f>
        <v>3.300797988E10</v>
      </c>
      <c r="H21" s="22" t="n">
        <f>28731196680</f>
        <v>2.873119668E10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80332</f>
        <v>80332.0</v>
      </c>
      <c r="E22" s="26" t="n">
        <f>31145</f>
        <v>31145.0</v>
      </c>
      <c r="F22" s="27" t="n">
        <f>0.929</f>
        <v>0.929</v>
      </c>
      <c r="G22" s="25" t="n">
        <f>39671715255</f>
        <v>3.9671715255E10</v>
      </c>
      <c r="H22" s="26" t="n">
        <f>31264017255</f>
        <v>3.1264017255E10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3326</f>
        <v>3326.0</v>
      </c>
      <c r="E24" s="22" t="n">
        <f>0</f>
        <v>0.0</v>
      </c>
      <c r="F24" s="23" t="n">
        <f>0.15</f>
        <v>0.15</v>
      </c>
      <c r="G24" s="21" t="n">
        <f>18959899</f>
        <v>1.8959899E7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2520</f>
        <v>2520.0</v>
      </c>
      <c r="E25" s="22" t="n">
        <f>0</f>
        <v>0.0</v>
      </c>
      <c r="F25" s="23" t="n">
        <f>0.049</f>
        <v>0.049</v>
      </c>
      <c r="G25" s="21" t="n">
        <f>14059222</f>
        <v>1.4059222E7</v>
      </c>
      <c r="H25" s="22" t="n">
        <f>0</f>
        <v>0.0</v>
      </c>
      <c r="I25" s="23" t="n">
        <f>0</f>
        <v>0.0</v>
      </c>
    </row>
    <row r="26" spans="1:9" ht="24.9" customHeight="1">
      <c r="A26" s="41"/>
      <c r="B26" s="39"/>
      <c r="C26" s="24" t="s">
        <v>18</v>
      </c>
      <c r="D26" s="25" t="n">
        <f>5846</f>
        <v>5846.0</v>
      </c>
      <c r="E26" s="26" t="n">
        <f>0</f>
        <v>0.0</v>
      </c>
      <c r="F26" s="27" t="n">
        <f>0.068</f>
        <v>0.068</v>
      </c>
      <c r="G26" s="25" t="n">
        <f>33019121</f>
        <v>3.3019121E7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46304.0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46304.0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13920.0</v>
      </c>
      <c r="F12" s="18" t="n">
        <f>1216</f>
        <v>1216.0</v>
      </c>
      <c r="G12" s="17" t="n">
        <v>9.5869593797E11</v>
      </c>
      <c r="H12" s="18" t="n">
        <f>84085953970</f>
        <v>8.408595397E10</v>
      </c>
    </row>
    <row r="13" spans="1:8" ht="24.9" customHeight="1">
      <c r="A13" s="51"/>
      <c r="B13" s="57"/>
      <c r="C13" s="39"/>
      <c r="D13" s="20" t="s">
        <v>16</v>
      </c>
      <c r="E13" s="21" t="n">
        <v>14866.0</v>
      </c>
      <c r="F13" s="22" t="n">
        <f>3199</f>
        <v>3199.0</v>
      </c>
      <c r="G13" s="21" t="n">
        <v>1.019086459239E12</v>
      </c>
      <c r="H13" s="22" t="n">
        <f>219467289239</f>
        <v>2.19467289239E11</v>
      </c>
    </row>
    <row r="14" spans="1:8" ht="24.9" customHeight="1">
      <c r="A14" s="51"/>
      <c r="B14" s="57"/>
      <c r="C14" s="39"/>
      <c r="D14" s="20" t="s">
        <v>17</v>
      </c>
      <c r="E14" s="21" t="n">
        <v>15632.0</v>
      </c>
      <c r="F14" s="22" t="n">
        <f>6434</f>
        <v>6434.0</v>
      </c>
      <c r="G14" s="21" t="n">
        <v>1.08021044524E12</v>
      </c>
      <c r="H14" s="22" t="n">
        <f>444611006240</f>
        <v>4.4461100624E11</v>
      </c>
    </row>
    <row r="15" spans="1:8" ht="24.9" customHeight="1">
      <c r="A15" s="51"/>
      <c r="B15" s="57"/>
      <c r="C15" s="39"/>
      <c r="D15" s="24" t="s">
        <v>18</v>
      </c>
      <c r="E15" s="25" t="n">
        <v>44418.0</v>
      </c>
      <c r="F15" s="26" t="n">
        <f>10849</f>
        <v>10849.0</v>
      </c>
      <c r="G15" s="25" t="n">
        <v>3.057992842449E12</v>
      </c>
      <c r="H15" s="26" t="n">
        <f>748164249449</f>
        <v>7.48164249449E11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330111.0</v>
      </c>
      <c r="F16" s="18" t="n">
        <f>37585</f>
        <v>37585.0</v>
      </c>
      <c r="G16" s="17" t="n">
        <v>2.27210624711E12</v>
      </c>
      <c r="H16" s="18" t="n">
        <f>258956574110</f>
        <v>2.5895657411E11</v>
      </c>
    </row>
    <row r="17" spans="1:8" ht="24.9" customHeight="1">
      <c r="A17" s="51"/>
      <c r="B17" s="57"/>
      <c r="C17" s="39"/>
      <c r="D17" s="20" t="s">
        <v>16</v>
      </c>
      <c r="E17" s="21" t="n">
        <v>173183.0</v>
      </c>
      <c r="F17" s="22" t="n">
        <f>15003</f>
        <v>15003.0</v>
      </c>
      <c r="G17" s="21" t="n">
        <v>1.187239299614E12</v>
      </c>
      <c r="H17" s="22" t="n">
        <f>102867408614</f>
        <v>1.02867408614E11</v>
      </c>
    </row>
    <row r="18" spans="1:8" ht="24.9" customHeight="1">
      <c r="A18" s="51"/>
      <c r="B18" s="57"/>
      <c r="C18" s="39"/>
      <c r="D18" s="20" t="s">
        <v>17</v>
      </c>
      <c r="E18" s="21" t="n">
        <v>139550.0</v>
      </c>
      <c r="F18" s="22" t="n">
        <f>15004</f>
        <v>15004.0</v>
      </c>
      <c r="G18" s="21" t="n">
        <v>9.6317140201E11</v>
      </c>
      <c r="H18" s="22" t="n">
        <f>103453712010</f>
        <v>1.0345371201E11</v>
      </c>
    </row>
    <row r="19" spans="1:8" ht="24.9" customHeight="1">
      <c r="A19" s="51"/>
      <c r="B19" s="57"/>
      <c r="C19" s="39"/>
      <c r="D19" s="24" t="s">
        <v>18</v>
      </c>
      <c r="E19" s="25" t="n">
        <v>642844.0</v>
      </c>
      <c r="F19" s="26" t="n">
        <f>67592</f>
        <v>67592.0</v>
      </c>
      <c r="G19" s="25" t="n">
        <v>4.422516948734E12</v>
      </c>
      <c r="H19" s="26" t="n">
        <f>465277694734</f>
        <v>4.65277694734E11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564702.0</v>
      </c>
      <c r="F20" s="18" t="str">
        <f>"－"</f>
        <v>－</v>
      </c>
      <c r="G20" s="17" t="n">
        <v>3.887181177E11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222844.0</v>
      </c>
      <c r="F21" s="22" t="str">
        <f>"－"</f>
        <v>－</v>
      </c>
      <c r="G21" s="21" t="n">
        <v>1.5276188325E11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162064.0</v>
      </c>
      <c r="F22" s="22" t="str">
        <f>"－"</f>
        <v>－</v>
      </c>
      <c r="G22" s="21" t="n">
        <v>1.1182597265E11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949610.0</v>
      </c>
      <c r="F23" s="26" t="str">
        <f>"－"</f>
        <v>－</v>
      </c>
      <c r="G23" s="25" t="n">
        <v>6.533059736E11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17364.0</v>
      </c>
      <c r="F24" s="18" t="n">
        <f>83</f>
        <v>83.0</v>
      </c>
      <c r="G24" s="17" t="n">
        <v>7.1248104295E11</v>
      </c>
      <c r="H24" s="18" t="n">
        <f>3403417950</f>
        <v>3.40341795E9</v>
      </c>
    </row>
    <row r="25" spans="1:8" ht="24.9" customHeight="1">
      <c r="A25" s="51"/>
      <c r="B25" s="57"/>
      <c r="C25" s="39"/>
      <c r="D25" s="20" t="s">
        <v>16</v>
      </c>
      <c r="E25" s="21" t="n">
        <v>15797.0</v>
      </c>
      <c r="F25" s="22" t="n">
        <f>810</f>
        <v>810.0</v>
      </c>
      <c r="G25" s="21" t="n">
        <v>6.471365706E11</v>
      </c>
      <c r="H25" s="22" t="n">
        <f>33223970600</f>
        <v>3.32239706E10</v>
      </c>
    </row>
    <row r="26" spans="1:8" ht="24.9" customHeight="1">
      <c r="A26" s="51"/>
      <c r="B26" s="57"/>
      <c r="C26" s="39"/>
      <c r="D26" s="20" t="s">
        <v>17</v>
      </c>
      <c r="E26" s="21" t="n">
        <v>26369.0</v>
      </c>
      <c r="F26" s="22" t="n">
        <f>7819</f>
        <v>7819.0</v>
      </c>
      <c r="G26" s="21" t="n">
        <v>1.0843026874E12</v>
      </c>
      <c r="H26" s="22" t="n">
        <f>321706592400</f>
        <v>3.217065924E11</v>
      </c>
    </row>
    <row r="27" spans="1:8" ht="24.9" customHeight="1">
      <c r="A27" s="51"/>
      <c r="B27" s="57"/>
      <c r="C27" s="39"/>
      <c r="D27" s="24" t="s">
        <v>18</v>
      </c>
      <c r="E27" s="25" t="n">
        <v>59530.0</v>
      </c>
      <c r="F27" s="26" t="n">
        <f>8712</f>
        <v>8712.0</v>
      </c>
      <c r="G27" s="25" t="n">
        <v>2.44392030095E12</v>
      </c>
      <c r="H27" s="26" t="n">
        <f>358333980950</f>
        <v>3.5833398095E11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6599.0</v>
      </c>
      <c r="F28" s="18" t="n">
        <f>483</f>
        <v>483.0</v>
      </c>
      <c r="G28" s="17" t="n">
        <v>2.707351314E10</v>
      </c>
      <c r="H28" s="18" t="n">
        <f>1982150390</f>
        <v>1.98215039E9</v>
      </c>
    </row>
    <row r="29" spans="1:8" ht="24.9" customHeight="1">
      <c r="A29" s="51"/>
      <c r="B29" s="57"/>
      <c r="C29" s="39"/>
      <c r="D29" s="20" t="s">
        <v>16</v>
      </c>
      <c r="E29" s="21" t="n">
        <v>7762.0</v>
      </c>
      <c r="F29" s="22" t="n">
        <f>212</f>
        <v>212.0</v>
      </c>
      <c r="G29" s="21" t="n">
        <v>3.1802151E10</v>
      </c>
      <c r="H29" s="22" t="n">
        <f>868448500</f>
        <v>8.684485E8</v>
      </c>
    </row>
    <row r="30" spans="1:8" ht="24.9" customHeight="1">
      <c r="A30" s="51"/>
      <c r="B30" s="57"/>
      <c r="C30" s="39"/>
      <c r="D30" s="20" t="s">
        <v>17</v>
      </c>
      <c r="E30" s="21" t="n">
        <v>5931.0</v>
      </c>
      <c r="F30" s="22" t="n">
        <f>131</f>
        <v>131.0</v>
      </c>
      <c r="G30" s="21" t="n">
        <v>2.4377264825E10</v>
      </c>
      <c r="H30" s="22" t="n">
        <f>538466825</f>
        <v>5.38466825E8</v>
      </c>
    </row>
    <row r="31" spans="1:8" ht="24.9" customHeight="1">
      <c r="A31" s="51"/>
      <c r="B31" s="57"/>
      <c r="C31" s="39"/>
      <c r="D31" s="24" t="s">
        <v>18</v>
      </c>
      <c r="E31" s="25" t="n">
        <v>20292.0</v>
      </c>
      <c r="F31" s="26" t="n">
        <f>826</f>
        <v>826.0</v>
      </c>
      <c r="G31" s="25" t="n">
        <v>8.3252928965E10</v>
      </c>
      <c r="H31" s="26" t="n">
        <f>3389065715</f>
        <v>3.389065715E9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477.0</v>
      </c>
      <c r="F36" s="18" t="n">
        <f>0</f>
        <v>0.0</v>
      </c>
      <c r="G36" s="17" t="n">
        <v>1.758595E9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437.0</v>
      </c>
      <c r="F37" s="22" t="n">
        <f>1</f>
        <v>1.0</v>
      </c>
      <c r="G37" s="21" t="n">
        <v>1.61018599E9</v>
      </c>
      <c r="H37" s="22" t="n">
        <f>3676990</f>
        <v>3676990.0</v>
      </c>
    </row>
    <row r="38" spans="1:8" ht="24.9" customHeight="1">
      <c r="A38" s="51"/>
      <c r="B38" s="57"/>
      <c r="C38" s="39"/>
      <c r="D38" s="20" t="s">
        <v>17</v>
      </c>
      <c r="E38" s="21" t="n">
        <v>707.0</v>
      </c>
      <c r="F38" s="22" t="n">
        <f>15</f>
        <v>15.0</v>
      </c>
      <c r="G38" s="21" t="n">
        <v>2.614946E9</v>
      </c>
      <c r="H38" s="22" t="n">
        <f>55369000</f>
        <v>5.5369E7</v>
      </c>
    </row>
    <row r="39" spans="1:8" ht="24.9" customHeight="1">
      <c r="A39" s="51"/>
      <c r="B39" s="57"/>
      <c r="C39" s="39"/>
      <c r="D39" s="24" t="s">
        <v>18</v>
      </c>
      <c r="E39" s="25" t="n">
        <v>1621.0</v>
      </c>
      <c r="F39" s="26" t="n">
        <f>16</f>
        <v>16.0</v>
      </c>
      <c r="G39" s="25" t="n">
        <v>5.98372699E9</v>
      </c>
      <c r="H39" s="26" t="n">
        <f>59045990</f>
        <v>5.904599E7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8.0</v>
      </c>
      <c r="F45" s="22" t="n">
        <f>8</f>
        <v>8.0</v>
      </c>
      <c r="G45" s="21" t="n">
        <v>5.904E7</v>
      </c>
      <c r="H45" s="22" t="n">
        <f>59040000</f>
        <v>5.904E7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8.0</v>
      </c>
      <c r="F47" s="26" t="n">
        <f>8</f>
        <v>8.0</v>
      </c>
      <c r="G47" s="25" t="n">
        <v>5.904E7</v>
      </c>
      <c r="H47" s="26" t="n">
        <f>59040000</f>
        <v>5.904E7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3300000.0</v>
      </c>
      <c r="H48" s="18" t="n">
        <f>3300000</f>
        <v>3300000.0</v>
      </c>
    </row>
    <row r="49" spans="1:8" ht="24.9" customHeight="1">
      <c r="A49" s="51"/>
      <c r="B49" s="57"/>
      <c r="C49" s="39"/>
      <c r="D49" s="20" t="s">
        <v>16</v>
      </c>
      <c r="E49" s="21" t="n">
        <v>80.0</v>
      </c>
      <c r="F49" s="22" t="n">
        <f>0</f>
        <v>0.0</v>
      </c>
      <c r="G49" s="21" t="n">
        <v>1.314815E8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504.0</v>
      </c>
      <c r="F50" s="22" t="n">
        <f>442</f>
        <v>442.0</v>
      </c>
      <c r="G50" s="21" t="n">
        <v>8.3283776E8</v>
      </c>
      <c r="H50" s="22" t="n">
        <f>730219760</f>
        <v>7.3021976E8</v>
      </c>
    </row>
    <row r="51" spans="1:8" ht="24.9" customHeight="1">
      <c r="A51" s="51"/>
      <c r="B51" s="57"/>
      <c r="C51" s="39"/>
      <c r="D51" s="24" t="s">
        <v>18</v>
      </c>
      <c r="E51" s="25" t="n">
        <v>586.0</v>
      </c>
      <c r="F51" s="26" t="n">
        <f>444</f>
        <v>444.0</v>
      </c>
      <c r="G51" s="25" t="n">
        <v>9.6761926E8</v>
      </c>
      <c r="H51" s="26" t="n">
        <f>733519760</f>
        <v>7.3351976E8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757.0</v>
      </c>
      <c r="F56" s="18" t="n">
        <f>16</f>
        <v>16.0</v>
      </c>
      <c r="G56" s="17" t="n">
        <v>5.9344E8</v>
      </c>
      <c r="H56" s="18" t="n">
        <f>12554000</f>
        <v>1.2554E7</v>
      </c>
    </row>
    <row r="57" spans="1:8" ht="24.9" customHeight="1">
      <c r="A57" s="51"/>
      <c r="B57" s="57"/>
      <c r="C57" s="39"/>
      <c r="D57" s="20" t="s">
        <v>16</v>
      </c>
      <c r="E57" s="21" t="n">
        <v>810.0</v>
      </c>
      <c r="F57" s="22" t="n">
        <f>16</f>
        <v>16.0</v>
      </c>
      <c r="G57" s="21" t="n">
        <v>6.386308E8</v>
      </c>
      <c r="H57" s="22" t="n">
        <f>12654800</f>
        <v>1.26548E7</v>
      </c>
    </row>
    <row r="58" spans="1:8" ht="24.9" customHeight="1">
      <c r="A58" s="51"/>
      <c r="B58" s="57"/>
      <c r="C58" s="39"/>
      <c r="D58" s="20" t="s">
        <v>17</v>
      </c>
      <c r="E58" s="21" t="n">
        <v>1006.0</v>
      </c>
      <c r="F58" s="22" t="n">
        <f>28</f>
        <v>28.0</v>
      </c>
      <c r="G58" s="21" t="n">
        <v>8.0189494E8</v>
      </c>
      <c r="H58" s="22" t="n">
        <f>22488940</f>
        <v>2.248894E7</v>
      </c>
    </row>
    <row r="59" spans="1:8" ht="24.9" customHeight="1">
      <c r="A59" s="51"/>
      <c r="B59" s="57"/>
      <c r="C59" s="39"/>
      <c r="D59" s="24" t="s">
        <v>18</v>
      </c>
      <c r="E59" s="25" t="n">
        <v>2573.0</v>
      </c>
      <c r="F59" s="26" t="n">
        <f>60</f>
        <v>60.0</v>
      </c>
      <c r="G59" s="25" t="n">
        <v>2.03396574E9</v>
      </c>
      <c r="H59" s="26" t="n">
        <f>47697740</f>
        <v>4.769774E7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294.0</v>
      </c>
      <c r="F60" s="18" t="n">
        <f>12</f>
        <v>12.0</v>
      </c>
      <c r="G60" s="17" t="n">
        <v>1.50697943E9</v>
      </c>
      <c r="H60" s="18" t="n">
        <f>61371530</f>
        <v>6.137153E7</v>
      </c>
    </row>
    <row r="61" spans="1:8" ht="24.9" customHeight="1">
      <c r="A61" s="51"/>
      <c r="B61" s="57"/>
      <c r="C61" s="39"/>
      <c r="D61" s="20" t="s">
        <v>16</v>
      </c>
      <c r="E61" s="21" t="n">
        <v>10.0</v>
      </c>
      <c r="F61" s="22" t="n">
        <f>1</f>
        <v>1.0</v>
      </c>
      <c r="G61" s="21" t="n">
        <v>5.15186E7</v>
      </c>
      <c r="H61" s="22" t="n">
        <f>5155500</f>
        <v>5155500.0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2</f>
        <v>2.0</v>
      </c>
      <c r="G62" s="21" t="n">
        <v>8.25253E7</v>
      </c>
      <c r="H62" s="22" t="n">
        <f>10315000</f>
        <v>1.0315E7</v>
      </c>
    </row>
    <row r="63" spans="1:8" ht="24.9" customHeight="1">
      <c r="A63" s="51"/>
      <c r="B63" s="57"/>
      <c r="C63" s="39"/>
      <c r="D63" s="24" t="s">
        <v>18</v>
      </c>
      <c r="E63" s="25" t="n">
        <v>320.0</v>
      </c>
      <c r="F63" s="26" t="n">
        <f>15</f>
        <v>15.0</v>
      </c>
      <c r="G63" s="25" t="n">
        <v>1.64102333E9</v>
      </c>
      <c r="H63" s="26" t="n">
        <f>76842030</f>
        <v>7.684203E7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14.0</v>
      </c>
      <c r="F77" s="22" t="n">
        <f>0</f>
        <v>0.0</v>
      </c>
      <c r="G77" s="21" t="n">
        <v>4085500.0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7.0</v>
      </c>
      <c r="F78" s="22" t="n">
        <f>0</f>
        <v>0.0</v>
      </c>
      <c r="G78" s="21" t="n">
        <v>2020500.0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21.0</v>
      </c>
      <c r="F79" s="26" t="n">
        <f>0</f>
        <v>0.0</v>
      </c>
      <c r="G79" s="25" t="n">
        <v>6106000.0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88.0</v>
      </c>
      <c r="F92" s="18" t="n">
        <f>0</f>
        <v>0.0</v>
      </c>
      <c r="G92" s="17" t="n">
        <v>1.38324E8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515.0</v>
      </c>
      <c r="F93" s="22" t="n">
        <f>0</f>
        <v>0.0</v>
      </c>
      <c r="G93" s="21" t="n">
        <v>8.095726E8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92.0</v>
      </c>
      <c r="F94" s="22" t="n">
        <f>0</f>
        <v>0.0</v>
      </c>
      <c r="G94" s="21" t="n">
        <v>1.447022E8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695.0</v>
      </c>
      <c r="F95" s="26" t="n">
        <f>0</f>
        <v>0.0</v>
      </c>
      <c r="G95" s="25" t="n">
        <v>1.0925988E9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237.0</v>
      </c>
      <c r="F96" s="18" t="n">
        <f>0</f>
        <v>0.0</v>
      </c>
      <c r="G96" s="17" t="n">
        <v>5.581785E8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55.0</v>
      </c>
      <c r="F97" s="22" t="n">
        <f>0</f>
        <v>0.0</v>
      </c>
      <c r="G97" s="21" t="n">
        <v>1.296227E8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292.0</v>
      </c>
      <c r="F99" s="26" t="n">
        <f>0</f>
        <v>0.0</v>
      </c>
      <c r="G99" s="25" t="n">
        <v>6.878012E8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60.0</v>
      </c>
      <c r="F100" s="18" t="n">
        <f>0</f>
        <v>0.0</v>
      </c>
      <c r="G100" s="17" t="n">
        <v>1.05979E8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60.0</v>
      </c>
      <c r="F103" s="26" t="n">
        <f>0</f>
        <v>0.0</v>
      </c>
      <c r="G103" s="25" t="n">
        <v>1.05979E8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14250.0</v>
      </c>
      <c r="F108" s="18" t="n">
        <f>364</f>
        <v>364.0</v>
      </c>
      <c r="G108" s="17" t="n">
        <v>1.772794205E12</v>
      </c>
      <c r="H108" s="18" t="n">
        <f>45244885000</f>
        <v>4.5244885E10</v>
      </c>
    </row>
    <row r="109" spans="1:8" ht="24.9" customHeight="1">
      <c r="A109" s="51"/>
      <c r="B109" s="57"/>
      <c r="C109" s="39"/>
      <c r="D109" s="20" t="s">
        <v>16</v>
      </c>
      <c r="E109" s="21" t="n">
        <v>16357.0</v>
      </c>
      <c r="F109" s="22" t="n">
        <f>1073</f>
        <v>1073.0</v>
      </c>
      <c r="G109" s="21" t="n">
        <v>2.04029601E12</v>
      </c>
      <c r="H109" s="22" t="n">
        <f>133836110000</f>
        <v>1.3383611E11</v>
      </c>
    </row>
    <row r="110" spans="1:8" ht="24.9" customHeight="1">
      <c r="A110" s="51"/>
      <c r="B110" s="57"/>
      <c r="C110" s="39"/>
      <c r="D110" s="20" t="s">
        <v>17</v>
      </c>
      <c r="E110" s="21" t="n">
        <v>17307.0</v>
      </c>
      <c r="F110" s="22" t="n">
        <f>2116</f>
        <v>2116.0</v>
      </c>
      <c r="G110" s="21" t="n">
        <v>2.161780125E12</v>
      </c>
      <c r="H110" s="22" t="n">
        <f>264280315000</f>
        <v>2.64280315E11</v>
      </c>
    </row>
    <row r="111" spans="1:8" ht="24.9" customHeight="1">
      <c r="A111" s="51"/>
      <c r="B111" s="57"/>
      <c r="C111" s="39"/>
      <c r="D111" s="24" t="s">
        <v>18</v>
      </c>
      <c r="E111" s="25" t="n">
        <v>47914.0</v>
      </c>
      <c r="F111" s="26" t="n">
        <f>3553</f>
        <v>3553.0</v>
      </c>
      <c r="G111" s="25" t="n">
        <v>5.97487034E12</v>
      </c>
      <c r="H111" s="26" t="n">
        <f>443361310000</f>
        <v>4.4336131E11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2198.0</v>
      </c>
      <c r="F113" s="22" t="n">
        <f>0</f>
        <v>0.0</v>
      </c>
      <c r="G113" s="21" t="n">
        <v>2.7416289E10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2035.0</v>
      </c>
      <c r="F114" s="22" t="n">
        <f>0</f>
        <v>0.0</v>
      </c>
      <c r="G114" s="21" t="n">
        <v>2.541852E10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4233.0</v>
      </c>
      <c r="F115" s="26" t="n">
        <f>0</f>
        <v>0.0</v>
      </c>
      <c r="G115" s="25" t="n">
        <v>5.2834809E10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130.0</v>
      </c>
      <c r="F118" s="22" t="n">
        <f>0</f>
        <v>0.0</v>
      </c>
      <c r="G118" s="21" t="n">
        <v>1.151E9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130.0</v>
      </c>
      <c r="F119" s="26" t="n">
        <f>0</f>
        <v>0.0</v>
      </c>
      <c r="G119" s="25" t="n">
        <v>1.151E9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52.0</v>
      </c>
      <c r="F120" s="18" t="n">
        <f>0</f>
        <v>0.0</v>
      </c>
      <c r="G120" s="17" t="n">
        <v>1.275315E9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796.0</v>
      </c>
      <c r="F121" s="22" t="n">
        <f>0</f>
        <v>0.0</v>
      </c>
      <c r="G121" s="21" t="n">
        <v>1.954563625E10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508.0</v>
      </c>
      <c r="F122" s="22" t="n">
        <f>0</f>
        <v>0.0</v>
      </c>
      <c r="G122" s="21" t="n">
        <v>1.2471909375E10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1356.0</v>
      </c>
      <c r="F123" s="26" t="n">
        <f>0</f>
        <v>0.0</v>
      </c>
      <c r="G123" s="25" t="n">
        <v>3.3292860625E10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3479.0</v>
      </c>
      <c r="F124" s="18" t="n">
        <f>0</f>
        <v>0.0</v>
      </c>
      <c r="G124" s="17" t="n">
        <v>7.4646858E10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2752.0</v>
      </c>
      <c r="F125" s="22" t="n">
        <f>0</f>
        <v>0.0</v>
      </c>
      <c r="G125" s="21" t="n">
        <v>5.9269843E10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3332.0</v>
      </c>
      <c r="F126" s="22" t="n">
        <f>0</f>
        <v>0.0</v>
      </c>
      <c r="G126" s="21" t="n">
        <v>7.2488012E10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9563.0</v>
      </c>
      <c r="F127" s="26" t="n">
        <f>0</f>
        <v>0.0</v>
      </c>
      <c r="G127" s="25" t="n">
        <v>2.06404713E11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2947.0</v>
      </c>
      <c r="F128" s="18" t="n">
        <f>0</f>
        <v>0.0</v>
      </c>
      <c r="G128" s="17" t="n">
        <v>6.2526215E9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194.0</v>
      </c>
      <c r="F129" s="22" t="n">
        <f>0</f>
        <v>0.0</v>
      </c>
      <c r="G129" s="21" t="n">
        <v>4.142851E8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384.0</v>
      </c>
      <c r="F130" s="22" t="n">
        <f>0</f>
        <v>0.0</v>
      </c>
      <c r="G130" s="21" t="n">
        <v>8.245695E8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3525.0</v>
      </c>
      <c r="F131" s="26" t="n">
        <f>0</f>
        <v>0.0</v>
      </c>
      <c r="G131" s="25" t="n">
        <v>7.4914761E9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4811.0</v>
      </c>
      <c r="F132" s="18" t="n">
        <f>0</f>
        <v>0.0</v>
      </c>
      <c r="G132" s="17" t="n">
        <v>1.036003145E10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2158.0</v>
      </c>
      <c r="F133" s="22" t="n">
        <f>0</f>
        <v>0.0</v>
      </c>
      <c r="G133" s="21" t="n">
        <v>4.67642535E9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2812.0</v>
      </c>
      <c r="F134" s="22" t="n">
        <f>0</f>
        <v>0.0</v>
      </c>
      <c r="G134" s="21" t="n">
        <v>6.14611765E9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9781.0</v>
      </c>
      <c r="F135" s="26" t="n">
        <f>0</f>
        <v>0.0</v>
      </c>
      <c r="G135" s="25" t="n">
        <v>2.118257445E10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18.0</v>
      </c>
      <c r="F136" s="18" t="n">
        <f>0</f>
        <v>0.0</v>
      </c>
      <c r="G136" s="17" t="n">
        <v>3.77148E7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14.0</v>
      </c>
      <c r="F137" s="22" t="n">
        <f>0</f>
        <v>0.0</v>
      </c>
      <c r="G137" s="21" t="n">
        <v>2.95292E7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29.0</v>
      </c>
      <c r="F138" s="22" t="n">
        <f>0</f>
        <v>0.0</v>
      </c>
      <c r="G138" s="21" t="n">
        <v>6.16298E7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61.0</v>
      </c>
      <c r="F139" s="26" t="n">
        <f>0</f>
        <v>0.0</v>
      </c>
      <c r="G139" s="25" t="n">
        <v>1.288738E8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817.0</v>
      </c>
      <c r="F144" s="18" t="n">
        <f>0</f>
        <v>0.0</v>
      </c>
      <c r="G144" s="17" t="n">
        <v>3.3339185E9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860.0</v>
      </c>
      <c r="F145" s="22" t="n">
        <f>0</f>
        <v>0.0</v>
      </c>
      <c r="G145" s="21" t="n">
        <v>3.5403245E9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869.0</v>
      </c>
      <c r="F146" s="22" t="n">
        <f>74</f>
        <v>74.0</v>
      </c>
      <c r="G146" s="21" t="n">
        <v>3.618833E9</v>
      </c>
      <c r="H146" s="22" t="n">
        <f>315610000</f>
        <v>3.1561E8</v>
      </c>
    </row>
    <row r="147" spans="1:8" ht="24.9" customHeight="1">
      <c r="A147" s="51"/>
      <c r="B147" s="57"/>
      <c r="C147" s="39"/>
      <c r="D147" s="24" t="s">
        <v>18</v>
      </c>
      <c r="E147" s="25" t="n">
        <v>2546.0</v>
      </c>
      <c r="F147" s="26" t="n">
        <f>74</f>
        <v>74.0</v>
      </c>
      <c r="G147" s="25" t="n">
        <v>1.0493076E10</v>
      </c>
      <c r="H147" s="26" t="n">
        <f>315610000</f>
        <v>3.1561E8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3058.0</v>
      </c>
      <c r="F148" s="18" t="n">
        <f>0</f>
        <v>0.0</v>
      </c>
      <c r="G148" s="17" t="n">
        <v>2.5800653E9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241.0</v>
      </c>
      <c r="F149" s="22" t="n">
        <f>0</f>
        <v>0.0</v>
      </c>
      <c r="G149" s="21" t="n">
        <v>2.0432E8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1019.0</v>
      </c>
      <c r="F150" s="22" t="n">
        <f>0</f>
        <v>0.0</v>
      </c>
      <c r="G150" s="21" t="n">
        <v>8.753406E8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4318.0</v>
      </c>
      <c r="F151" s="26" t="n">
        <f>0</f>
        <v>0.0</v>
      </c>
      <c r="G151" s="25" t="n">
        <v>3.6597259E9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192.0</v>
      </c>
      <c r="F152" s="18" t="n">
        <f>0</f>
        <v>0.0</v>
      </c>
      <c r="G152" s="17" t="n">
        <v>1.5715205E8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206.0</v>
      </c>
      <c r="F153" s="22" t="n">
        <f>0</f>
        <v>0.0</v>
      </c>
      <c r="G153" s="21" t="n">
        <v>1.6976725E8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488.0</v>
      </c>
      <c r="F154" s="22" t="n">
        <f>0</f>
        <v>0.0</v>
      </c>
      <c r="G154" s="21" t="n">
        <v>4.0688205E8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886.0</v>
      </c>
      <c r="F155" s="26" t="n">
        <f>0</f>
        <v>0.0</v>
      </c>
      <c r="G155" s="25" t="n">
        <v>7.3380135E8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151.0</v>
      </c>
      <c r="F156" s="18" t="n">
        <f>0</f>
        <v>0.0</v>
      </c>
      <c r="G156" s="17" t="n">
        <v>1.26E8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397.0</v>
      </c>
      <c r="F157" s="22" t="n">
        <f>0</f>
        <v>0.0</v>
      </c>
      <c r="G157" s="21" t="n">
        <v>3.340267E8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141.0</v>
      </c>
      <c r="F158" s="22" t="n">
        <f>0</f>
        <v>0.0</v>
      </c>
      <c r="G158" s="21" t="n">
        <v>1.191586E8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689.0</v>
      </c>
      <c r="F159" s="26" t="n">
        <f>0</f>
        <v>0.0</v>
      </c>
      <c r="G159" s="25" t="n">
        <v>5.791853E8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24.0</v>
      </c>
      <c r="F168" s="18" t="n">
        <f>0</f>
        <v>0.0</v>
      </c>
      <c r="G168" s="17" t="n">
        <v>5.4602E7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240.0</v>
      </c>
      <c r="F169" s="22" t="n">
        <f>0</f>
        <v>0.0</v>
      </c>
      <c r="G169" s="21" t="n">
        <v>5.435445E8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277.0</v>
      </c>
      <c r="F170" s="22" t="n">
        <f>0</f>
        <v>0.0</v>
      </c>
      <c r="G170" s="21" t="n">
        <v>6.30244E8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541.0</v>
      </c>
      <c r="F171" s="26" t="n">
        <f>0</f>
        <v>0.0</v>
      </c>
      <c r="G171" s="25" t="n">
        <v>1.2283905E9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17.0</v>
      </c>
      <c r="F178" s="22" t="n">
        <f>0</f>
        <v>0.0</v>
      </c>
      <c r="G178" s="21" t="n">
        <v>3.4577E7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17.0</v>
      </c>
      <c r="F179" s="26" t="n">
        <f>0</f>
        <v>0.0</v>
      </c>
      <c r="G179" s="25" t="n">
        <v>3.4577E7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501.0</v>
      </c>
      <c r="F204" s="18" t="n">
        <f>0</f>
        <v>0.0</v>
      </c>
      <c r="G204" s="17" t="n">
        <v>2.3563925E9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117.0</v>
      </c>
      <c r="F205" s="22" t="n">
        <f>0</f>
        <v>0.0</v>
      </c>
      <c r="G205" s="21" t="n">
        <v>5.4541E8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4021.0</v>
      </c>
      <c r="F206" s="22" t="n">
        <f>2</f>
        <v>2.0</v>
      </c>
      <c r="G206" s="21" t="n">
        <v>1.8680428E10</v>
      </c>
      <c r="H206" s="22" t="n">
        <f>9720000</f>
        <v>9720000.0</v>
      </c>
    </row>
    <row r="207" spans="1:8" ht="24.9" customHeight="1">
      <c r="A207" s="57"/>
      <c r="B207" s="59"/>
      <c r="C207" s="39"/>
      <c r="D207" s="24" t="s">
        <v>18</v>
      </c>
      <c r="E207" s="25" t="n">
        <v>4639.0</v>
      </c>
      <c r="F207" s="26" t="n">
        <f>2</f>
        <v>2.0</v>
      </c>
      <c r="G207" s="25" t="n">
        <v>2.15822305E10</v>
      </c>
      <c r="H207" s="26" t="n">
        <f>9720000</f>
        <v>9720000.0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20.0</v>
      </c>
      <c r="F248" s="18" t="n">
        <f>20</f>
        <v>20.0</v>
      </c>
      <c r="G248" s="17" t="n">
        <v>3.390624E8</v>
      </c>
      <c r="H248" s="18" t="n">
        <f>339062400</f>
        <v>3.390624E8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20.0</v>
      </c>
      <c r="F251" s="26" t="n">
        <f>20</f>
        <v>20.0</v>
      </c>
      <c r="G251" s="25" t="n">
        <v>3.390624E8</v>
      </c>
      <c r="H251" s="26" t="n">
        <f>339062400</f>
        <v>3.390624E8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46304.0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46304.0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3517</f>
        <v>3517.0</v>
      </c>
      <c r="E12" s="35" t="n">
        <f>2354</f>
        <v>2354.0</v>
      </c>
      <c r="F12" s="17" t="n">
        <f>1050</f>
        <v>1050.0</v>
      </c>
      <c r="G12" s="35" t="n">
        <f>112</f>
        <v>112.0</v>
      </c>
      <c r="H12" s="17" t="n">
        <f>4567</f>
        <v>4567.0</v>
      </c>
      <c r="I12" s="35" t="n">
        <f>2466</f>
        <v>2466.0</v>
      </c>
      <c r="J12" s="17" t="n">
        <f>1878110420</f>
        <v>1.87811042E9</v>
      </c>
      <c r="K12" s="35" t="n">
        <f>1345115420</f>
        <v>1.34511542E9</v>
      </c>
      <c r="L12" s="17" t="n">
        <f>499039770</f>
        <v>4.9903977E8</v>
      </c>
      <c r="M12" s="35" t="n">
        <f>33293770</f>
        <v>3.329377E7</v>
      </c>
      <c r="N12" s="17" t="n">
        <f>2377150190</f>
        <v>2.37715019E9</v>
      </c>
      <c r="O12" s="35" t="n">
        <f>1378409190</f>
        <v>1.37840919E9</v>
      </c>
    </row>
    <row r="13" spans="1:15" ht="24.9" customHeight="1">
      <c r="A13" s="38"/>
      <c r="B13" s="62"/>
      <c r="C13" s="20" t="s">
        <v>16</v>
      </c>
      <c r="D13" s="21" t="n">
        <f>3896</f>
        <v>3896.0</v>
      </c>
      <c r="E13" s="36" t="n">
        <f>907</f>
        <v>907.0</v>
      </c>
      <c r="F13" s="21" t="n">
        <f>3144</f>
        <v>3144.0</v>
      </c>
      <c r="G13" s="36" t="n">
        <f>708</f>
        <v>708.0</v>
      </c>
      <c r="H13" s="21" t="n">
        <f>7040</f>
        <v>7040.0</v>
      </c>
      <c r="I13" s="36" t="n">
        <f>1615</f>
        <v>1615.0</v>
      </c>
      <c r="J13" s="21" t="n">
        <f>1841925320</f>
        <v>1.84192532E9</v>
      </c>
      <c r="K13" s="36" t="n">
        <f>646135320</f>
        <v>6.4613532E8</v>
      </c>
      <c r="L13" s="21" t="n">
        <f>1468290305</f>
        <v>1.468290305E9</v>
      </c>
      <c r="M13" s="36" t="n">
        <f>494457305</f>
        <v>4.94457305E8</v>
      </c>
      <c r="N13" s="21" t="n">
        <f>3310215625</f>
        <v>3.310215625E9</v>
      </c>
      <c r="O13" s="36" t="n">
        <f>1140592625</f>
        <v>1.140592625E9</v>
      </c>
    </row>
    <row r="14" spans="1:15" ht="24.9" customHeight="1">
      <c r="A14" s="38"/>
      <c r="B14" s="62"/>
      <c r="C14" s="20" t="s">
        <v>17</v>
      </c>
      <c r="D14" s="21" t="n">
        <f>20117</f>
        <v>20117.0</v>
      </c>
      <c r="E14" s="36" t="n">
        <f>15625</f>
        <v>15625.0</v>
      </c>
      <c r="F14" s="21" t="n">
        <f>10812</f>
        <v>10812.0</v>
      </c>
      <c r="G14" s="36" t="n">
        <f>7499</f>
        <v>7499.0</v>
      </c>
      <c r="H14" s="21" t="n">
        <f>30929</f>
        <v>30929.0</v>
      </c>
      <c r="I14" s="36" t="n">
        <f>23124</f>
        <v>23124.0</v>
      </c>
      <c r="J14" s="21" t="n">
        <f>15724581140</f>
        <v>1.572458114E10</v>
      </c>
      <c r="K14" s="36" t="n">
        <f>13470736140</f>
        <v>1.347073614E10</v>
      </c>
      <c r="L14" s="21" t="n">
        <f>16723602930</f>
        <v>1.672360293E10</v>
      </c>
      <c r="M14" s="36" t="n">
        <f>15147448930</f>
        <v>1.514744893E10</v>
      </c>
      <c r="N14" s="21" t="n">
        <f>32448184070</f>
        <v>3.244818407E10</v>
      </c>
      <c r="O14" s="36" t="n">
        <f>28618185070</f>
        <v>2.861818507E10</v>
      </c>
    </row>
    <row r="15" spans="1:15" ht="24.9" customHeight="1">
      <c r="A15" s="38"/>
      <c r="B15" s="62"/>
      <c r="C15" s="24" t="s">
        <v>18</v>
      </c>
      <c r="D15" s="25" t="n">
        <f>27530</f>
        <v>27530.0</v>
      </c>
      <c r="E15" s="37" t="n">
        <f>18886</f>
        <v>18886.0</v>
      </c>
      <c r="F15" s="25" t="n">
        <f>15006</f>
        <v>15006.0</v>
      </c>
      <c r="G15" s="37" t="n">
        <f>8319</f>
        <v>8319.0</v>
      </c>
      <c r="H15" s="25" t="n">
        <f>42536</f>
        <v>42536.0</v>
      </c>
      <c r="I15" s="37" t="n">
        <f>27205</f>
        <v>27205.0</v>
      </c>
      <c r="J15" s="25" t="n">
        <f>19444616880</f>
        <v>1.944461688E10</v>
      </c>
      <c r="K15" s="37" t="n">
        <f>15461986880</f>
        <v>1.546198688E10</v>
      </c>
      <c r="L15" s="25" t="n">
        <f>18690933005</f>
        <v>1.8690933005E10</v>
      </c>
      <c r="M15" s="37" t="n">
        <f>15675200005</f>
        <v>1.5675200005E10</v>
      </c>
      <c r="N15" s="25" t="n">
        <f>38135549885</f>
        <v>3.8135549885E10</v>
      </c>
      <c r="O15" s="37" t="n">
        <f>31137186885</f>
        <v>3.1137186885E10</v>
      </c>
    </row>
    <row r="16" spans="1:15" ht="24.9" customHeight="1">
      <c r="A16" s="38"/>
      <c r="B16" s="61" t="s">
        <v>105</v>
      </c>
      <c r="C16" s="16" t="s">
        <v>15</v>
      </c>
      <c r="D16" s="17" t="n">
        <f>4561</f>
        <v>4561.0</v>
      </c>
      <c r="E16" s="35" t="n">
        <f>140</f>
        <v>140.0</v>
      </c>
      <c r="F16" s="17" t="n">
        <f>3678</f>
        <v>3678.0</v>
      </c>
      <c r="G16" s="35" t="n">
        <f>260</f>
        <v>260.0</v>
      </c>
      <c r="H16" s="17" t="n">
        <f>8239</f>
        <v>8239.0</v>
      </c>
      <c r="I16" s="35" t="n">
        <f>400</f>
        <v>400.0</v>
      </c>
      <c r="J16" s="17" t="n">
        <f>222134350</f>
        <v>2.2213435E8</v>
      </c>
      <c r="K16" s="35" t="n">
        <f>1378650</f>
        <v>1378650.0</v>
      </c>
      <c r="L16" s="17" t="n">
        <f>241398280</f>
        <v>2.4139828E8</v>
      </c>
      <c r="M16" s="35" t="n">
        <f>1397180</f>
        <v>1397180.0</v>
      </c>
      <c r="N16" s="17" t="n">
        <f>463532630</f>
        <v>4.6353263E8</v>
      </c>
      <c r="O16" s="35" t="n">
        <f>2775830</f>
        <v>2775830.0</v>
      </c>
    </row>
    <row r="17" spans="1:15" ht="24.9" customHeight="1">
      <c r="A17" s="38"/>
      <c r="B17" s="62"/>
      <c r="C17" s="20" t="s">
        <v>16</v>
      </c>
      <c r="D17" s="21" t="n">
        <f>6361</f>
        <v>6361.0</v>
      </c>
      <c r="E17" s="36" t="n">
        <f>550</f>
        <v>550.0</v>
      </c>
      <c r="F17" s="21" t="n">
        <f>5423</f>
        <v>5423.0</v>
      </c>
      <c r="G17" s="36" t="n">
        <f>140</f>
        <v>140.0</v>
      </c>
      <c r="H17" s="21" t="n">
        <f>11784</f>
        <v>11784.0</v>
      </c>
      <c r="I17" s="36" t="n">
        <f>690</f>
        <v>690.0</v>
      </c>
      <c r="J17" s="21" t="n">
        <f>255460980</f>
        <v>2.5546098E8</v>
      </c>
      <c r="K17" s="36" t="n">
        <f>7612280</f>
        <v>7612280.0</v>
      </c>
      <c r="L17" s="21" t="n">
        <f>257375950</f>
        <v>2.5737595E8</v>
      </c>
      <c r="M17" s="36" t="n">
        <f>3430650</f>
        <v>3430650.0</v>
      </c>
      <c r="N17" s="21" t="n">
        <f>512836930</f>
        <v>5.1283693E8</v>
      </c>
      <c r="O17" s="36" t="n">
        <f>11042930</f>
        <v>1.104293E7</v>
      </c>
    </row>
    <row r="18" spans="1:15" ht="24.9" customHeight="1">
      <c r="A18" s="38"/>
      <c r="B18" s="62"/>
      <c r="C18" s="20" t="s">
        <v>17</v>
      </c>
      <c r="D18" s="21" t="n">
        <f>10964</f>
        <v>10964.0</v>
      </c>
      <c r="E18" s="36" t="n">
        <f>290</f>
        <v>290.0</v>
      </c>
      <c r="F18" s="21" t="n">
        <f>6009</f>
        <v>6009.0</v>
      </c>
      <c r="G18" s="36" t="n">
        <f>1760</f>
        <v>1760.0</v>
      </c>
      <c r="H18" s="21" t="n">
        <f>16973</f>
        <v>16973.0</v>
      </c>
      <c r="I18" s="36" t="n">
        <f>2050</f>
        <v>2050.0</v>
      </c>
      <c r="J18" s="21" t="n">
        <f>267868160</f>
        <v>2.6786816E8</v>
      </c>
      <c r="K18" s="36" t="n">
        <f>3067860</f>
        <v>3067860.0</v>
      </c>
      <c r="L18" s="21" t="n">
        <f>236927650</f>
        <v>2.3692765E8</v>
      </c>
      <c r="M18" s="36" t="n">
        <f>54943750</f>
        <v>5.494375E7</v>
      </c>
      <c r="N18" s="21" t="n">
        <f>504795810</f>
        <v>5.0479581E8</v>
      </c>
      <c r="O18" s="36" t="n">
        <f>58011610</f>
        <v>5.801161E7</v>
      </c>
    </row>
    <row r="19" spans="1:15" ht="24.9" customHeight="1">
      <c r="A19" s="38"/>
      <c r="B19" s="62"/>
      <c r="C19" s="24" t="s">
        <v>18</v>
      </c>
      <c r="D19" s="25" t="n">
        <f>21886</f>
        <v>21886.0</v>
      </c>
      <c r="E19" s="37" t="n">
        <f>980</f>
        <v>980.0</v>
      </c>
      <c r="F19" s="25" t="n">
        <f>15110</f>
        <v>15110.0</v>
      </c>
      <c r="G19" s="37" t="n">
        <f>2160</f>
        <v>2160.0</v>
      </c>
      <c r="H19" s="25" t="n">
        <f>36996</f>
        <v>36996.0</v>
      </c>
      <c r="I19" s="37" t="n">
        <f>3140</f>
        <v>3140.0</v>
      </c>
      <c r="J19" s="25" t="n">
        <f>745463490</f>
        <v>7.4546349E8</v>
      </c>
      <c r="K19" s="37" t="n">
        <f>12058790</f>
        <v>1.205879E7</v>
      </c>
      <c r="L19" s="25" t="n">
        <f>735701880</f>
        <v>7.3570188E8</v>
      </c>
      <c r="M19" s="37" t="n">
        <f>59771580</f>
        <v>5.977158E7</v>
      </c>
      <c r="N19" s="25" t="n">
        <f>1481165370</f>
        <v>1.48116537E9</v>
      </c>
      <c r="O19" s="37" t="n">
        <f>71830370</f>
        <v>7.183037E7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750</f>
        <v>750.0</v>
      </c>
      <c r="E22" s="36" t="n">
        <f>750</f>
        <v>750.0</v>
      </c>
      <c r="F22" s="21" t="n">
        <f>50</f>
        <v>50.0</v>
      </c>
      <c r="G22" s="36" t="n">
        <f>50</f>
        <v>50.0</v>
      </c>
      <c r="H22" s="21" t="n">
        <f>800</f>
        <v>800.0</v>
      </c>
      <c r="I22" s="36" t="n">
        <f>800</f>
        <v>800.0</v>
      </c>
      <c r="J22" s="21" t="n">
        <f>27750000</f>
        <v>2.775E7</v>
      </c>
      <c r="K22" s="36" t="n">
        <f>27750000</f>
        <v>2.775E7</v>
      </c>
      <c r="L22" s="21" t="n">
        <f>27250000</f>
        <v>2.725E7</v>
      </c>
      <c r="M22" s="36" t="n">
        <f>27250000</f>
        <v>2.725E7</v>
      </c>
      <c r="N22" s="21" t="n">
        <f>55000000</f>
        <v>5.5E7</v>
      </c>
      <c r="O22" s="36" t="n">
        <f>55000000</f>
        <v>5.5E7</v>
      </c>
    </row>
    <row r="23" spans="1:15" ht="24.9" customHeight="1">
      <c r="A23" s="38"/>
      <c r="B23" s="62"/>
      <c r="C23" s="24" t="s">
        <v>18</v>
      </c>
      <c r="D23" s="25" t="n">
        <f>750</f>
        <v>750.0</v>
      </c>
      <c r="E23" s="37" t="n">
        <f>750</f>
        <v>750.0</v>
      </c>
      <c r="F23" s="25" t="n">
        <f>50</f>
        <v>50.0</v>
      </c>
      <c r="G23" s="37" t="n">
        <f>50</f>
        <v>50.0</v>
      </c>
      <c r="H23" s="25" t="n">
        <f>800</f>
        <v>800.0</v>
      </c>
      <c r="I23" s="37" t="n">
        <f>800</f>
        <v>800.0</v>
      </c>
      <c r="J23" s="25" t="n">
        <f>27750000</f>
        <v>2.775E7</v>
      </c>
      <c r="K23" s="37" t="n">
        <f>27750000</f>
        <v>2.775E7</v>
      </c>
      <c r="L23" s="25" t="n">
        <f>27250000</f>
        <v>2.725E7</v>
      </c>
      <c r="M23" s="37" t="n">
        <f>27250000</f>
        <v>2.725E7</v>
      </c>
      <c r="N23" s="25" t="n">
        <f>55000000</f>
        <v>5.5E7</v>
      </c>
      <c r="O23" s="37" t="n">
        <f>55000000</f>
        <v>5.5E7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77</f>
        <v>77.0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77</f>
        <v>77.0</v>
      </c>
      <c r="I36" s="18" t="n">
        <f>0</f>
        <v>0.0</v>
      </c>
      <c r="J36" s="17" t="n">
        <f>2880000</f>
        <v>2880000.0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2880000</f>
        <v>2880000.0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60</f>
        <v>60.0</v>
      </c>
      <c r="E37" s="22" t="n">
        <f>0</f>
        <v>0.0</v>
      </c>
      <c r="F37" s="21" t="n">
        <f>23</f>
        <v>23.0</v>
      </c>
      <c r="G37" s="22" t="n">
        <f>0</f>
        <v>0.0</v>
      </c>
      <c r="H37" s="21" t="n">
        <f>83</f>
        <v>83.0</v>
      </c>
      <c r="I37" s="22" t="n">
        <f>0</f>
        <v>0.0</v>
      </c>
      <c r="J37" s="21" t="n">
        <f>7400000</f>
        <v>7400000.0</v>
      </c>
      <c r="K37" s="22" t="n">
        <f>0</f>
        <v>0.0</v>
      </c>
      <c r="L37" s="21" t="n">
        <f>4140000</f>
        <v>4140000.0</v>
      </c>
      <c r="M37" s="22" t="n">
        <f>0</f>
        <v>0.0</v>
      </c>
      <c r="N37" s="21" t="n">
        <f>11540000</f>
        <v>1.154E7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45</f>
        <v>45.0</v>
      </c>
      <c r="E38" s="36" t="n">
        <f>0</f>
        <v>0.0</v>
      </c>
      <c r="F38" s="21" t="n">
        <f>113</f>
        <v>113.0</v>
      </c>
      <c r="G38" s="36" t="n">
        <f>25</f>
        <v>25.0</v>
      </c>
      <c r="H38" s="21" t="n">
        <f>158</f>
        <v>158.0</v>
      </c>
      <c r="I38" s="36" t="n">
        <f>25</f>
        <v>25.0</v>
      </c>
      <c r="J38" s="21" t="n">
        <f>5080000</f>
        <v>5080000.0</v>
      </c>
      <c r="K38" s="36" t="n">
        <f>0</f>
        <v>0.0</v>
      </c>
      <c r="L38" s="21" t="n">
        <f>31775000</f>
        <v>3.1775E7</v>
      </c>
      <c r="M38" s="36" t="n">
        <f>7125000</f>
        <v>7125000.0</v>
      </c>
      <c r="N38" s="21" t="n">
        <f>36855000</f>
        <v>3.6855E7</v>
      </c>
      <c r="O38" s="36" t="n">
        <f>7125000</f>
        <v>7125000.0</v>
      </c>
    </row>
    <row r="39" spans="1:15" ht="24.9" customHeight="1">
      <c r="A39" s="38"/>
      <c r="B39" s="62"/>
      <c r="C39" s="24" t="s">
        <v>18</v>
      </c>
      <c r="D39" s="25" t="n">
        <f>182</f>
        <v>182.0</v>
      </c>
      <c r="E39" s="37" t="n">
        <f>0</f>
        <v>0.0</v>
      </c>
      <c r="F39" s="25" t="n">
        <f>136</f>
        <v>136.0</v>
      </c>
      <c r="G39" s="37" t="n">
        <f>25</f>
        <v>25.0</v>
      </c>
      <c r="H39" s="25" t="n">
        <f>318</f>
        <v>318.0</v>
      </c>
      <c r="I39" s="37" t="n">
        <f>25</f>
        <v>25.0</v>
      </c>
      <c r="J39" s="25" t="n">
        <f>15360000</f>
        <v>1.536E7</v>
      </c>
      <c r="K39" s="37" t="n">
        <f>0</f>
        <v>0.0</v>
      </c>
      <c r="L39" s="25" t="n">
        <f>35915000</f>
        <v>3.5915E7</v>
      </c>
      <c r="M39" s="37" t="n">
        <f>7125000</f>
        <v>7125000.0</v>
      </c>
      <c r="N39" s="25" t="n">
        <f>51275000</f>
        <v>5.1275E7</v>
      </c>
      <c r="O39" s="37" t="n">
        <f>7125000</f>
        <v>7125000.0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2333</f>
        <v>2333.0</v>
      </c>
      <c r="E41" s="36" t="n">
        <f>0</f>
        <v>0.0</v>
      </c>
      <c r="F41" s="21" t="n">
        <f>993</f>
        <v>993.0</v>
      </c>
      <c r="G41" s="36" t="n">
        <f>0</f>
        <v>0.0</v>
      </c>
      <c r="H41" s="21" t="n">
        <f>3326</f>
        <v>3326.0</v>
      </c>
      <c r="I41" s="36" t="n">
        <f>0</f>
        <v>0.0</v>
      </c>
      <c r="J41" s="21" t="n">
        <f>12510569</f>
        <v>1.2510569E7</v>
      </c>
      <c r="K41" s="36" t="n">
        <f>0</f>
        <v>0.0</v>
      </c>
      <c r="L41" s="21" t="n">
        <f>6449330</f>
        <v>6449330.0</v>
      </c>
      <c r="M41" s="36" t="n">
        <f>0</f>
        <v>0.0</v>
      </c>
      <c r="N41" s="21" t="n">
        <f>18959899</f>
        <v>1.8959899E7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905</f>
        <v>905.0</v>
      </c>
      <c r="E42" s="36" t="n">
        <f>0</f>
        <v>0.0</v>
      </c>
      <c r="F42" s="21" t="n">
        <f>1615</f>
        <v>1615.0</v>
      </c>
      <c r="G42" s="36" t="n">
        <f>0</f>
        <v>0.0</v>
      </c>
      <c r="H42" s="21" t="n">
        <f>2520</f>
        <v>2520.0</v>
      </c>
      <c r="I42" s="36" t="n">
        <f>0</f>
        <v>0.0</v>
      </c>
      <c r="J42" s="21" t="n">
        <f>5229172</f>
        <v>5229172.0</v>
      </c>
      <c r="K42" s="36" t="n">
        <f>0</f>
        <v>0.0</v>
      </c>
      <c r="L42" s="21" t="n">
        <f>8830050</f>
        <v>8830050.0</v>
      </c>
      <c r="M42" s="36" t="n">
        <f>0</f>
        <v>0.0</v>
      </c>
      <c r="N42" s="21" t="n">
        <f>14059222</f>
        <v>1.4059222E7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3238</f>
        <v>3238.0</v>
      </c>
      <c r="E43" s="37" t="n">
        <f>0</f>
        <v>0.0</v>
      </c>
      <c r="F43" s="25" t="n">
        <f>2608</f>
        <v>2608.0</v>
      </c>
      <c r="G43" s="37" t="n">
        <f>0</f>
        <v>0.0</v>
      </c>
      <c r="H43" s="25" t="n">
        <f>5846</f>
        <v>5846.0</v>
      </c>
      <c r="I43" s="37" t="n">
        <f>0</f>
        <v>0.0</v>
      </c>
      <c r="J43" s="25" t="n">
        <f>17739741</f>
        <v>1.7739741E7</v>
      </c>
      <c r="K43" s="37" t="n">
        <f>0</f>
        <v>0.0</v>
      </c>
      <c r="L43" s="25" t="n">
        <f>15279380</f>
        <v>1.527938E7</v>
      </c>
      <c r="M43" s="37" t="n">
        <f>0</f>
        <v>0.0</v>
      </c>
      <c r="N43" s="25" t="n">
        <f>33019121</f>
        <v>3.3019121E7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