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<sst xmlns="http://schemas.openxmlformats.org/spreadsheetml/2006/main" count="528" uniqueCount="129">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</sst>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DATE(2026,10,05)</f>
        <v>46300.0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DATE(2026,10,05)</f>
        <v>46300.0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1038212.0</f>
        <v>1038212.0</v>
      </c>
      <c r="E12" s="18" t="n">
        <f>46284.0</f>
        <v>46284.0</v>
      </c>
      <c r="F12" s="19" t="n">
        <f>1.0</f>
        <v>1.0</v>
      </c>
      <c r="G12" s="17" t="n">
        <f>7270634339745.0</f>
        <v>7.270634339745E12</v>
      </c>
      <c r="H12" s="18" t="n">
        <f>474448136520.0</f>
        <v>4.7444813652E11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401464.0</f>
        <v>401464.0</v>
      </c>
      <c r="E13" s="22" t="n">
        <f>25895.0</f>
        <v>25895.0</v>
      </c>
      <c r="F13" s="23" t="n">
        <f>1.0</f>
        <v>1.0</v>
      </c>
      <c r="G13" s="21" t="n">
        <f>4486753841341.0</f>
        <v>4.486753841341E12</v>
      </c>
      <c r="H13" s="22" t="n">
        <f>464980911466.0</f>
        <v>4.64980911466E11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406599.0</f>
        <v>406599.0</v>
      </c>
      <c r="E14" s="22" t="n">
        <f>44649.0</f>
        <v>44649.0</v>
      </c>
      <c r="F14" s="23" t="n">
        <f>1.0</f>
        <v>1.0</v>
      </c>
      <c r="G14" s="21" t="n">
        <f>5124183473345.0</f>
        <v>5.124183473345E12</v>
      </c>
      <c r="H14" s="22" t="n">
        <f>1102123438220.0</f>
        <v>1.10212343822E12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1846275.0</f>
        <v>1846275.0</v>
      </c>
      <c r="E15" s="26" t="n">
        <f>116828.0</f>
        <v>116828.0</v>
      </c>
      <c r="F15" s="27" t="n">
        <f>1.0</f>
        <v>1.0</v>
      </c>
      <c r="G15" s="25" t="n">
        <f>16881571654431.0</f>
        <v>1.6881571654431E13</v>
      </c>
      <c r="H15" s="26" t="n">
        <f>2041552486206.0</f>
        <v>2.041552486206E12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18332.0</f>
        <v>18332.0</v>
      </c>
      <c r="E16" s="18" t="n">
        <f>428.0</f>
        <v>428.0</v>
      </c>
      <c r="F16" s="19" t="n">
        <f>0.018</f>
        <v>0.018</v>
      </c>
      <c r="G16" s="17" t="n">
        <f>2162734410625.0</f>
        <v>2.162734410625E12</v>
      </c>
      <c r="H16" s="18" t="n">
        <f>53281940000.0</f>
        <v>5.328194E10</v>
      </c>
      <c r="I16" s="19" t="n">
        <f>0.297</f>
        <v>0.297</v>
      </c>
    </row>
    <row r="17" spans="1:9" ht="24.9" customHeight="1">
      <c r="A17" s="41"/>
      <c r="B17" s="39"/>
      <c r="C17" s="20" t="s">
        <v>16</v>
      </c>
      <c r="D17" s="21" t="n">
        <f>19982.0</f>
        <v>19982.0</v>
      </c>
      <c r="E17" s="22" t="n">
        <f>4287.0</f>
        <v>4287.0</v>
      </c>
      <c r="F17" s="23" t="n">
        <f>0.05</f>
        <v>0.05</v>
      </c>
      <c r="G17" s="21" t="n">
        <f>1788145337875.0</f>
        <v>1.788145337875E12</v>
      </c>
      <c r="H17" s="22" t="n">
        <f>181532002000.0</f>
        <v>1.81532002E11</v>
      </c>
      <c r="I17" s="23" t="n">
        <f>0.399</f>
        <v>0.399</v>
      </c>
    </row>
    <row r="18" spans="1:9" ht="24.9" customHeight="1">
      <c r="A18" s="41"/>
      <c r="B18" s="39"/>
      <c r="C18" s="20" t="s">
        <v>17</v>
      </c>
      <c r="D18" s="21" t="n">
        <f>12975.0</f>
        <v>12975.0</v>
      </c>
      <c r="E18" s="22" t="n">
        <f>1183.0</f>
        <v>1183.0</v>
      </c>
      <c r="F18" s="23" t="n">
        <f>0.032</f>
        <v>0.032</v>
      </c>
      <c r="G18" s="21" t="n">
        <f>1187743858875.0</f>
        <v>1.187743858875E12</v>
      </c>
      <c r="H18" s="22" t="n">
        <f>147358545000.0</f>
        <v>1.47358545E11</v>
      </c>
      <c r="I18" s="23" t="n">
        <f>0.232</f>
        <v>0.232</v>
      </c>
    </row>
    <row r="19" spans="1:9" ht="24.9" customHeight="1">
      <c r="A19" s="41"/>
      <c r="B19" s="39"/>
      <c r="C19" s="24" t="s">
        <v>18</v>
      </c>
      <c r="D19" s="25" t="n">
        <f>51289.0</f>
        <v>51289.0</v>
      </c>
      <c r="E19" s="26" t="n">
        <f>5898.0</f>
        <v>5898.0</v>
      </c>
      <c r="F19" s="27" t="n">
        <f>0.028</f>
        <v>0.028</v>
      </c>
      <c r="G19" s="25" t="n">
        <f>5138623607375.0</f>
        <v>5.138623607375E12</v>
      </c>
      <c r="H19" s="26" t="n">
        <f>382172487000.0</f>
        <v>3.82172487E11</v>
      </c>
      <c r="I19" s="27" t="n">
        <f>0.304</f>
        <v>0.304</v>
      </c>
    </row>
    <row r="20" spans="1:9" ht="24.9" customHeight="1">
      <c r="A20" s="41"/>
      <c r="B20" s="39" t="s">
        <v>21</v>
      </c>
      <c r="C20" s="16" t="s">
        <v>15</v>
      </c>
      <c r="D20" s="17" t="n">
        <f>1001956.0</f>
        <v>1001956.0</v>
      </c>
      <c r="E20" s="18" t="n">
        <f>45856.0</f>
        <v>45856.0</v>
      </c>
      <c r="F20" s="19" t="n">
        <f>0.965</f>
        <v>0.965</v>
      </c>
      <c r="G20" s="17" t="n">
        <f>4909859352270.0</f>
        <v>4.90985935227E12</v>
      </c>
      <c r="H20" s="18" t="n">
        <f>421166196520.0</f>
        <v>4.2116619652E11</v>
      </c>
      <c r="I20" s="19" t="n">
        <f>0.675</f>
        <v>0.675</v>
      </c>
    </row>
    <row r="21" spans="1:9" ht="24.9" customHeight="1">
      <c r="A21" s="41"/>
      <c r="B21" s="39"/>
      <c r="C21" s="20" t="s">
        <v>16</v>
      </c>
      <c r="D21" s="21" t="n">
        <f>375373.0</f>
        <v>375373.0</v>
      </c>
      <c r="E21" s="22" t="n">
        <f>21608.0</f>
        <v>21608.0</v>
      </c>
      <c r="F21" s="23" t="n">
        <f>0.935</f>
        <v>0.935</v>
      </c>
      <c r="G21" s="21" t="n">
        <f>2649360249666.0</f>
        <v>2.649360249666E12</v>
      </c>
      <c r="H21" s="22" t="n">
        <f>283448909466.0</f>
        <v>2.83448909466E11</v>
      </c>
      <c r="I21" s="23" t="n">
        <f>0.59</f>
        <v>0.59</v>
      </c>
    </row>
    <row r="22" spans="1:9" ht="24.9" customHeight="1">
      <c r="A22" s="41"/>
      <c r="B22" s="39"/>
      <c r="C22" s="20" t="s">
        <v>17</v>
      </c>
      <c r="D22" s="21" t="n">
        <f>385877.0</f>
        <v>385877.0</v>
      </c>
      <c r="E22" s="22" t="n">
        <f>42986.0</f>
        <v>42986.0</v>
      </c>
      <c r="F22" s="23" t="n">
        <f>0.949</f>
        <v>0.949</v>
      </c>
      <c r="G22" s="21" t="n">
        <f>3877899208370.0</f>
        <v>3.87789920837E12</v>
      </c>
      <c r="H22" s="22" t="n">
        <f>954209744420.0</f>
        <v>9.5420974442E11</v>
      </c>
      <c r="I22" s="23" t="n">
        <f>0.757</f>
        <v>0.757</v>
      </c>
    </row>
    <row r="23" spans="1:9" ht="24.9" customHeight="1">
      <c r="A23" s="41"/>
      <c r="B23" s="39"/>
      <c r="C23" s="24" t="s">
        <v>18</v>
      </c>
      <c r="D23" s="25" t="n">
        <f>1763206.0</f>
        <v>1763206.0</v>
      </c>
      <c r="E23" s="26" t="n">
        <f>110450.0</f>
        <v>110450.0</v>
      </c>
      <c r="F23" s="27" t="n">
        <f>0.955</f>
        <v>0.955</v>
      </c>
      <c r="G23" s="25" t="n">
        <f>11437118810306.0</f>
        <v>1.1437118810306E13</v>
      </c>
      <c r="H23" s="26" t="n">
        <f>1658824850406.0</f>
        <v>1.658824850406E12</v>
      </c>
      <c r="I23" s="27" t="n">
        <f>0.677</f>
        <v>0.677</v>
      </c>
    </row>
    <row r="24" spans="1:9" ht="24.9" customHeight="1">
      <c r="A24" s="41"/>
      <c r="B24" s="39" t="s">
        <v>22</v>
      </c>
      <c r="C24" s="16" t="s">
        <v>15</v>
      </c>
      <c r="D24" s="17" t="n">
        <f>17633.0</f>
        <v>17633.0</v>
      </c>
      <c r="E24" s="18" t="n">
        <f>0.0</f>
        <v>0.0</v>
      </c>
      <c r="F24" s="19" t="n">
        <f>0.017</f>
        <v>0.017</v>
      </c>
      <c r="G24" s="17" t="n">
        <f>196745210350.0</f>
        <v>1.9674521035E11</v>
      </c>
      <c r="H24" s="18" t="n">
        <f>0.0</f>
        <v>0.0</v>
      </c>
      <c r="I24" s="19" t="n">
        <f>0.027</f>
        <v>0.027</v>
      </c>
    </row>
    <row r="25" spans="1:9" ht="24.9" customHeight="1">
      <c r="A25" s="41"/>
      <c r="B25" s="39"/>
      <c r="C25" s="20" t="s">
        <v>16</v>
      </c>
      <c r="D25" s="21" t="n">
        <f>5776.0</f>
        <v>5776.0</v>
      </c>
      <c r="E25" s="22" t="n">
        <f>0.0</f>
        <v>0.0</v>
      </c>
      <c r="F25" s="23" t="n">
        <f>0.014</f>
        <v>0.014</v>
      </c>
      <c r="G25" s="21" t="n">
        <f>47744160800.0</f>
        <v>4.77441608E10</v>
      </c>
      <c r="H25" s="22" t="n">
        <f>0.0</f>
        <v>0.0</v>
      </c>
      <c r="I25" s="23" t="n">
        <f>0.011</f>
        <v>0.011</v>
      </c>
    </row>
    <row r="26" spans="1:9" ht="24.9" customHeight="1">
      <c r="A26" s="41"/>
      <c r="B26" s="39"/>
      <c r="C26" s="20" t="s">
        <v>17</v>
      </c>
      <c r="D26" s="21" t="n">
        <f>6063.0</f>
        <v>6063.0</v>
      </c>
      <c r="E26" s="22" t="n">
        <f>0.0</f>
        <v>0.0</v>
      </c>
      <c r="F26" s="23" t="n">
        <f>0.015</f>
        <v>0.015</v>
      </c>
      <c r="G26" s="21" t="n">
        <f>52546069300.0</f>
        <v>5.25460693E10</v>
      </c>
      <c r="H26" s="22" t="n">
        <f>0.0</f>
        <v>0.0</v>
      </c>
      <c r="I26" s="23" t="n">
        <f>0.01</f>
        <v>0.01</v>
      </c>
    </row>
    <row r="27" spans="1:9" ht="24.9" customHeight="1">
      <c r="A27" s="42"/>
      <c r="B27" s="39"/>
      <c r="C27" s="24" t="s">
        <v>18</v>
      </c>
      <c r="D27" s="25" t="n">
        <f>29472.0</f>
        <v>29472.0</v>
      </c>
      <c r="E27" s="26" t="n">
        <f>0.0</f>
        <v>0.0</v>
      </c>
      <c r="F27" s="27" t="n">
        <f>0.016</f>
        <v>0.016</v>
      </c>
      <c r="G27" s="25" t="n">
        <f>297035440450.0</f>
        <v>2.9703544045E11</v>
      </c>
      <c r="H27" s="26" t="n">
        <f>0.0</f>
        <v>0.0</v>
      </c>
      <c r="I27" s="27" t="n">
        <f>0.018</f>
        <v>0.018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291.0</f>
        <v>291.0</v>
      </c>
      <c r="E28" s="18" t="n">
        <f>0.0</f>
        <v>0.0</v>
      </c>
      <c r="F28" s="19" t="n">
        <f>0.0</f>
        <v>0.0</v>
      </c>
      <c r="G28" s="17" t="n">
        <f>1295366500.0</f>
        <v>1.2953665E9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333.0</f>
        <v>333.0</v>
      </c>
      <c r="E29" s="22" t="n">
        <f>0.0</f>
        <v>0.0</v>
      </c>
      <c r="F29" s="23" t="n">
        <f>0.001</f>
        <v>0.001</v>
      </c>
      <c r="G29" s="21" t="n">
        <f>1504093000.0</f>
        <v>1.504093E9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1684.0</f>
        <v>1684.0</v>
      </c>
      <c r="E30" s="22" t="n">
        <f>480.0</f>
        <v>480.0</v>
      </c>
      <c r="F30" s="23" t="n">
        <f>0.004</f>
        <v>0.004</v>
      </c>
      <c r="G30" s="21" t="n">
        <f>5994336800.0</f>
        <v>5.9943368E9</v>
      </c>
      <c r="H30" s="22" t="n">
        <f>555148800.0</f>
        <v>5.551488E8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2308.0</f>
        <v>2308.0</v>
      </c>
      <c r="E31" s="26" t="n">
        <f>480.0</f>
        <v>480.0</v>
      </c>
      <c r="F31" s="27" t="n">
        <f>0.001</f>
        <v>0.001</v>
      </c>
      <c r="G31" s="25" t="n">
        <f>8793796300.0</f>
        <v>8.7937963E9</v>
      </c>
      <c r="H31" s="26" t="n">
        <f>555148800.0</f>
        <v>5.551488E8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46300.0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46300.0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32998</f>
        <v>32998.0</v>
      </c>
      <c r="E11" s="18" t="n">
        <f>5707</f>
        <v>5707.0</v>
      </c>
      <c r="F11" s="19" t="n">
        <f>1</f>
        <v>1.0</v>
      </c>
      <c r="G11" s="17" t="n">
        <f>4389702879</f>
        <v>4.389702879E9</v>
      </c>
      <c r="H11" s="18" t="n">
        <f>1915057479</f>
        <v>1.915057479E9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21785</f>
        <v>21785.0</v>
      </c>
      <c r="E12" s="22" t="n">
        <f>5371</f>
        <v>5371.0</v>
      </c>
      <c r="F12" s="23" t="n">
        <f>1</f>
        <v>1.0</v>
      </c>
      <c r="G12" s="21" t="n">
        <f>5300938640</f>
        <v>5.30093864E9</v>
      </c>
      <c r="H12" s="22" t="n">
        <f>2759310710</f>
        <v>2.75931071E9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47352</f>
        <v>47352.0</v>
      </c>
      <c r="E13" s="22" t="n">
        <f>27787</f>
        <v>27787.0</v>
      </c>
      <c r="F13" s="23" t="n">
        <f>1</f>
        <v>1.0</v>
      </c>
      <c r="G13" s="21" t="n">
        <f>26806184741</f>
        <v>2.6806184741E10</v>
      </c>
      <c r="H13" s="22" t="n">
        <f>22566881421</f>
        <v>2.2566881421E10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102135</f>
        <v>102135.0</v>
      </c>
      <c r="E14" s="26" t="n">
        <f>38865</f>
        <v>38865.0</v>
      </c>
      <c r="F14" s="27" t="n">
        <f>1</f>
        <v>1.0</v>
      </c>
      <c r="G14" s="25" t="n">
        <f>36496826260</f>
        <v>3.649682626E10</v>
      </c>
      <c r="H14" s="26" t="n">
        <f>27241249610</f>
        <v>2.724124961E10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0</f>
        <v>0.0</v>
      </c>
      <c r="E16" s="22" t="n">
        <f>0</f>
        <v>0.0</v>
      </c>
      <c r="F16" s="23" t="n">
        <f>0</f>
        <v>0.0</v>
      </c>
      <c r="G16" s="21" t="n">
        <f>0</f>
        <v>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20</f>
        <v>20.0</v>
      </c>
      <c r="E17" s="22" t="n">
        <f>0</f>
        <v>0.0</v>
      </c>
      <c r="F17" s="23" t="n">
        <f>0</f>
        <v>0.0</v>
      </c>
      <c r="G17" s="21" t="n">
        <f>3100000</f>
        <v>3100000.0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20</f>
        <v>20.0</v>
      </c>
      <c r="E18" s="26" t="n">
        <f>0</f>
        <v>0.0</v>
      </c>
      <c r="F18" s="27" t="n">
        <f>0</f>
        <v>0.0</v>
      </c>
      <c r="G18" s="25" t="n">
        <f>3100000</f>
        <v>3100000.0</v>
      </c>
      <c r="H18" s="26" t="n">
        <f>0</f>
        <v>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32998</f>
        <v>32998.0</v>
      </c>
      <c r="E19" s="18" t="n">
        <f>5707</f>
        <v>5707.0</v>
      </c>
      <c r="F19" s="19" t="n">
        <f>1</f>
        <v>1.0</v>
      </c>
      <c r="G19" s="17" t="n">
        <f>4389702879</f>
        <v>4.389702879E9</v>
      </c>
      <c r="H19" s="18" t="n">
        <f>1915057479</f>
        <v>1.915057479E9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21631</f>
        <v>21631.0</v>
      </c>
      <c r="E20" s="22" t="n">
        <f>5371</f>
        <v>5371.0</v>
      </c>
      <c r="F20" s="23" t="n">
        <f>0.993</f>
        <v>0.993</v>
      </c>
      <c r="G20" s="21" t="n">
        <f>5298169110</f>
        <v>5.29816911E9</v>
      </c>
      <c r="H20" s="22" t="n">
        <f>2759310710</f>
        <v>2.75931071E9</v>
      </c>
      <c r="I20" s="23" t="n">
        <f>0.999</f>
        <v>0.999</v>
      </c>
    </row>
    <row r="21" spans="1:9" ht="24.9" customHeight="1">
      <c r="A21" s="41"/>
      <c r="B21" s="39"/>
      <c r="C21" s="20" t="s">
        <v>17</v>
      </c>
      <c r="D21" s="21" t="n">
        <f>43526</f>
        <v>43526.0</v>
      </c>
      <c r="E21" s="22" t="n">
        <f>26987</f>
        <v>26987.0</v>
      </c>
      <c r="F21" s="23" t="n">
        <f>0.919</f>
        <v>0.919</v>
      </c>
      <c r="G21" s="21" t="n">
        <f>26736905321</f>
        <v>2.6736905321E10</v>
      </c>
      <c r="H21" s="22" t="n">
        <f>22534081421</f>
        <v>2.2534081421E10</v>
      </c>
      <c r="I21" s="23" t="n">
        <f>0.997</f>
        <v>0.997</v>
      </c>
    </row>
    <row r="22" spans="1:9" ht="24.9" customHeight="1">
      <c r="A22" s="41"/>
      <c r="B22" s="39"/>
      <c r="C22" s="24" t="s">
        <v>18</v>
      </c>
      <c r="D22" s="25" t="n">
        <f>98155</f>
        <v>98155.0</v>
      </c>
      <c r="E22" s="26" t="n">
        <f>38065</f>
        <v>38065.0</v>
      </c>
      <c r="F22" s="27" t="n">
        <f>0.961</f>
        <v>0.961</v>
      </c>
      <c r="G22" s="25" t="n">
        <f>36424777310</f>
        <v>3.642477731E10</v>
      </c>
      <c r="H22" s="26" t="n">
        <f>27208449610</f>
        <v>2.720844961E10</v>
      </c>
      <c r="I22" s="27" t="n">
        <f>0.998</f>
        <v>0.998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154</f>
        <v>154.0</v>
      </c>
      <c r="E24" s="22" t="n">
        <f>0</f>
        <v>0.0</v>
      </c>
      <c r="F24" s="23" t="n">
        <f>0.007</f>
        <v>0.007</v>
      </c>
      <c r="G24" s="21" t="n">
        <f>2769530</f>
        <v>2769530.0</v>
      </c>
      <c r="H24" s="22" t="n">
        <f>0</f>
        <v>0.0</v>
      </c>
      <c r="I24" s="23" t="n">
        <f>0.001</f>
        <v>0.001</v>
      </c>
    </row>
    <row r="25" spans="1:9" ht="24.9" customHeight="1">
      <c r="A25" s="41"/>
      <c r="B25" s="39"/>
      <c r="C25" s="20" t="s">
        <v>17</v>
      </c>
      <c r="D25" s="21" t="n">
        <f>3806</f>
        <v>3806.0</v>
      </c>
      <c r="E25" s="22" t="n">
        <f>800</f>
        <v>800.0</v>
      </c>
      <c r="F25" s="23" t="n">
        <f>0.08</f>
        <v>0.08</v>
      </c>
      <c r="G25" s="21" t="n">
        <f>66179420</f>
        <v>6.617942E7</v>
      </c>
      <c r="H25" s="22" t="n">
        <f>32800000</f>
        <v>3.28E7</v>
      </c>
      <c r="I25" s="23" t="n">
        <f>0.002</f>
        <v>0.002</v>
      </c>
    </row>
    <row r="26" spans="1:9" ht="24.9" customHeight="1">
      <c r="A26" s="41"/>
      <c r="B26" s="39"/>
      <c r="C26" s="24" t="s">
        <v>18</v>
      </c>
      <c r="D26" s="25" t="n">
        <f>3960</f>
        <v>3960.0</v>
      </c>
      <c r="E26" s="26" t="n">
        <f>800</f>
        <v>800.0</v>
      </c>
      <c r="F26" s="27" t="n">
        <f>0.039</f>
        <v>0.039</v>
      </c>
      <c r="G26" s="25" t="n">
        <f>68948950</f>
        <v>6.894895E7</v>
      </c>
      <c r="H26" s="26" t="n">
        <f>32800000</f>
        <v>3.28E7</v>
      </c>
      <c r="I26" s="27" t="n">
        <f>0.002</f>
        <v>0.002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46300.0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46300.0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16010.0</v>
      </c>
      <c r="F12" s="18" t="n">
        <f>1674</f>
        <v>1674.0</v>
      </c>
      <c r="G12" s="17" t="n">
        <v>1.1147215354E12</v>
      </c>
      <c r="H12" s="18" t="n">
        <f>116534857400</f>
        <v>1.165348574E11</v>
      </c>
    </row>
    <row r="13" spans="1:8" ht="24.9" customHeight="1">
      <c r="A13" s="51"/>
      <c r="B13" s="57"/>
      <c r="C13" s="39"/>
      <c r="D13" s="20" t="s">
        <v>16</v>
      </c>
      <c r="E13" s="21" t="n">
        <v>12011.0</v>
      </c>
      <c r="F13" s="22" t="n">
        <f>1818</f>
        <v>1818.0</v>
      </c>
      <c r="G13" s="21" t="n">
        <v>8.40413776886E11</v>
      </c>
      <c r="H13" s="22" t="n">
        <f>127190375886</f>
        <v>1.27190375886E11</v>
      </c>
    </row>
    <row r="14" spans="1:8" ht="24.9" customHeight="1">
      <c r="A14" s="51"/>
      <c r="B14" s="57"/>
      <c r="C14" s="39"/>
      <c r="D14" s="20" t="s">
        <v>17</v>
      </c>
      <c r="E14" s="21" t="n">
        <v>18792.0</v>
      </c>
      <c r="F14" s="22" t="n">
        <f>5824</f>
        <v>5824.0</v>
      </c>
      <c r="G14" s="21" t="n">
        <v>1.316658387996E12</v>
      </c>
      <c r="H14" s="22" t="n">
        <f>408148728996</f>
        <v>4.08148728996E11</v>
      </c>
    </row>
    <row r="15" spans="1:8" ht="24.9" customHeight="1">
      <c r="A15" s="51"/>
      <c r="B15" s="57"/>
      <c r="C15" s="39"/>
      <c r="D15" s="24" t="s">
        <v>18</v>
      </c>
      <c r="E15" s="25" t="n">
        <v>46813.0</v>
      </c>
      <c r="F15" s="26" t="n">
        <f>9316</f>
        <v>9316.0</v>
      </c>
      <c r="G15" s="25" t="n">
        <v>3.271793700282E12</v>
      </c>
      <c r="H15" s="26" t="n">
        <f>651873962282</f>
        <v>6.51873962282E11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356551.0</v>
      </c>
      <c r="F16" s="18" t="n">
        <f>43190</f>
        <v>43190.0</v>
      </c>
      <c r="G16" s="17" t="n">
        <v>2.48230770481E12</v>
      </c>
      <c r="H16" s="18" t="n">
        <f>300731341810</f>
        <v>3.0073134181E11</v>
      </c>
    </row>
    <row r="17" spans="1:8" ht="24.9" customHeight="1">
      <c r="A17" s="51"/>
      <c r="B17" s="57"/>
      <c r="C17" s="39"/>
      <c r="D17" s="20" t="s">
        <v>16</v>
      </c>
      <c r="E17" s="21" t="n">
        <v>145215.0</v>
      </c>
      <c r="F17" s="22" t="n">
        <f>18856</f>
        <v>18856.0</v>
      </c>
      <c r="G17" s="21" t="n">
        <v>1.01559172183E12</v>
      </c>
      <c r="H17" s="22" t="n">
        <f>131819657330</f>
        <v>1.3181965733E11</v>
      </c>
    </row>
    <row r="18" spans="1:8" ht="24.9" customHeight="1">
      <c r="A18" s="51"/>
      <c r="B18" s="57"/>
      <c r="C18" s="39"/>
      <c r="D18" s="20" t="s">
        <v>17</v>
      </c>
      <c r="E18" s="21" t="n">
        <v>158340.0</v>
      </c>
      <c r="F18" s="22" t="n">
        <f>28462</f>
        <v>28462.0</v>
      </c>
      <c r="G18" s="21" t="n">
        <v>1.108850110305E12</v>
      </c>
      <c r="H18" s="22" t="n">
        <f>199098651805</f>
        <v>1.99098651805E11</v>
      </c>
    </row>
    <row r="19" spans="1:8" ht="24.9" customHeight="1">
      <c r="A19" s="51"/>
      <c r="B19" s="57"/>
      <c r="C19" s="39"/>
      <c r="D19" s="24" t="s">
        <v>18</v>
      </c>
      <c r="E19" s="25" t="n">
        <v>660106.0</v>
      </c>
      <c r="F19" s="26" t="n">
        <f>90508</f>
        <v>90508.0</v>
      </c>
      <c r="G19" s="25" t="n">
        <v>4.606749536945E12</v>
      </c>
      <c r="H19" s="26" t="n">
        <f>631649650945</f>
        <v>6.31649650945E11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597611.0</v>
      </c>
      <c r="F20" s="18" t="str">
        <f>"－"</f>
        <v>－</v>
      </c>
      <c r="G20" s="17" t="n">
        <v>4.1608259355E11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194707.0</v>
      </c>
      <c r="F21" s="22" t="str">
        <f>"－"</f>
        <v>－</v>
      </c>
      <c r="G21" s="21" t="n">
        <v>1.361569883E11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167619.0</v>
      </c>
      <c r="F22" s="22" t="str">
        <f>"－"</f>
        <v>－</v>
      </c>
      <c r="G22" s="21" t="n">
        <v>1.173882275E11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959937.0</v>
      </c>
      <c r="F23" s="26" t="str">
        <f>"－"</f>
        <v>－</v>
      </c>
      <c r="G23" s="25" t="n">
        <v>6.6962780935E11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20635.0</v>
      </c>
      <c r="F24" s="18" t="n">
        <f>17</f>
        <v>17.0</v>
      </c>
      <c r="G24" s="17" t="n">
        <v>8.5440654E11</v>
      </c>
      <c r="H24" s="18" t="n">
        <f>703440000</f>
        <v>7.0344E8</v>
      </c>
    </row>
    <row r="25" spans="1:8" ht="24.9" customHeight="1">
      <c r="A25" s="51"/>
      <c r="B25" s="57"/>
      <c r="C25" s="39"/>
      <c r="D25" s="20" t="s">
        <v>16</v>
      </c>
      <c r="E25" s="21" t="n">
        <v>15102.0</v>
      </c>
      <c r="F25" s="22" t="n">
        <f>555</f>
        <v>555.0</v>
      </c>
      <c r="G25" s="21" t="n">
        <v>6.258606505E11</v>
      </c>
      <c r="H25" s="22" t="n">
        <f>22990620500</f>
        <v>2.29906205E10</v>
      </c>
    </row>
    <row r="26" spans="1:8" ht="24.9" customHeight="1">
      <c r="A26" s="51"/>
      <c r="B26" s="57"/>
      <c r="C26" s="39"/>
      <c r="D26" s="20" t="s">
        <v>17</v>
      </c>
      <c r="E26" s="21" t="n">
        <v>31256.0</v>
      </c>
      <c r="F26" s="22" t="n">
        <f>8309</f>
        <v>8309.0</v>
      </c>
      <c r="G26" s="21" t="n">
        <v>1.2983449222E12</v>
      </c>
      <c r="H26" s="22" t="n">
        <f>345320122200</f>
        <v>3.453201222E11</v>
      </c>
    </row>
    <row r="27" spans="1:8" ht="24.9" customHeight="1">
      <c r="A27" s="51"/>
      <c r="B27" s="57"/>
      <c r="C27" s="39"/>
      <c r="D27" s="24" t="s">
        <v>18</v>
      </c>
      <c r="E27" s="25" t="n">
        <v>66993.0</v>
      </c>
      <c r="F27" s="26" t="n">
        <f>8881</f>
        <v>8881.0</v>
      </c>
      <c r="G27" s="25" t="n">
        <v>2.7786121127E12</v>
      </c>
      <c r="H27" s="26" t="n">
        <f>369014182700</f>
        <v>3.690141827E11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9044.0</v>
      </c>
      <c r="F28" s="18" t="n">
        <f>618</f>
        <v>618.0</v>
      </c>
      <c r="G28" s="17" t="n">
        <v>3.74318268E10</v>
      </c>
      <c r="H28" s="18" t="n">
        <f>2558165300</f>
        <v>2.5581653E9</v>
      </c>
    </row>
    <row r="29" spans="1:8" ht="24.9" customHeight="1">
      <c r="A29" s="51"/>
      <c r="B29" s="57"/>
      <c r="C29" s="39"/>
      <c r="D29" s="20" t="s">
        <v>16</v>
      </c>
      <c r="E29" s="21" t="n">
        <v>6608.0</v>
      </c>
      <c r="F29" s="22" t="n">
        <f>165</f>
        <v>165.0</v>
      </c>
      <c r="G29" s="21" t="n">
        <v>2.737728035E10</v>
      </c>
      <c r="H29" s="22" t="n">
        <f>683745350</f>
        <v>6.8374535E8</v>
      </c>
    </row>
    <row r="30" spans="1:8" ht="24.9" customHeight="1">
      <c r="A30" s="51"/>
      <c r="B30" s="57"/>
      <c r="C30" s="39"/>
      <c r="D30" s="20" t="s">
        <v>17</v>
      </c>
      <c r="E30" s="21" t="n">
        <v>7495.0</v>
      </c>
      <c r="F30" s="22" t="n">
        <f>174</f>
        <v>174.0</v>
      </c>
      <c r="G30" s="21" t="n">
        <v>3.112910645E10</v>
      </c>
      <c r="H30" s="22" t="n">
        <f>722207200</f>
        <v>7.222072E8</v>
      </c>
    </row>
    <row r="31" spans="1:8" ht="24.9" customHeight="1">
      <c r="A31" s="51"/>
      <c r="B31" s="57"/>
      <c r="C31" s="39"/>
      <c r="D31" s="24" t="s">
        <v>18</v>
      </c>
      <c r="E31" s="25" t="n">
        <v>23147.0</v>
      </c>
      <c r="F31" s="26" t="n">
        <f>957</f>
        <v>957.0</v>
      </c>
      <c r="G31" s="25" t="n">
        <v>9.59382136E10</v>
      </c>
      <c r="H31" s="26" t="n">
        <f>3964117850</f>
        <v>3.96411785E9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530.0</v>
      </c>
      <c r="F36" s="18" t="n">
        <f>2</f>
        <v>2.0</v>
      </c>
      <c r="G36" s="17" t="n">
        <v>1.96778502E9</v>
      </c>
      <c r="H36" s="18" t="n">
        <f>7431520</f>
        <v>7431520.0</v>
      </c>
    </row>
    <row r="37" spans="1:8" ht="24.9" customHeight="1">
      <c r="A37" s="51"/>
      <c r="B37" s="57"/>
      <c r="C37" s="39"/>
      <c r="D37" s="20" t="s">
        <v>16</v>
      </c>
      <c r="E37" s="21" t="n">
        <v>597.0</v>
      </c>
      <c r="F37" s="22" t="n">
        <f>1</f>
        <v>1.0</v>
      </c>
      <c r="G37" s="21" t="n">
        <v>2.21808249E9</v>
      </c>
      <c r="H37" s="22" t="n">
        <f>3716990</f>
        <v>3716990.0</v>
      </c>
    </row>
    <row r="38" spans="1:8" ht="24.9" customHeight="1">
      <c r="A38" s="51"/>
      <c r="B38" s="57"/>
      <c r="C38" s="39"/>
      <c r="D38" s="20" t="s">
        <v>17</v>
      </c>
      <c r="E38" s="21" t="n">
        <v>948.0</v>
      </c>
      <c r="F38" s="22" t="n">
        <f>149</f>
        <v>149.0</v>
      </c>
      <c r="G38" s="21" t="n">
        <v>3.528566999E9</v>
      </c>
      <c r="H38" s="22" t="n">
        <f>553881999</f>
        <v>5.53881999E8</v>
      </c>
    </row>
    <row r="39" spans="1:8" ht="24.9" customHeight="1">
      <c r="A39" s="51"/>
      <c r="B39" s="57"/>
      <c r="C39" s="39"/>
      <c r="D39" s="24" t="s">
        <v>18</v>
      </c>
      <c r="E39" s="25" t="n">
        <v>2075.0</v>
      </c>
      <c r="F39" s="26" t="n">
        <f>152</f>
        <v>152.0</v>
      </c>
      <c r="G39" s="25" t="n">
        <v>7.714434509E9</v>
      </c>
      <c r="H39" s="26" t="n">
        <f>565030509</f>
        <v>5.65030509E8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73.0</v>
      </c>
      <c r="F45" s="22" t="n">
        <f>73</f>
        <v>73.0</v>
      </c>
      <c r="G45" s="21" t="n">
        <v>5.54873E8</v>
      </c>
      <c r="H45" s="22" t="n">
        <f>554873000</f>
        <v>5.54873E8</v>
      </c>
    </row>
    <row r="46" spans="1:8" ht="24.9" customHeight="1">
      <c r="A46" s="51"/>
      <c r="B46" s="57"/>
      <c r="C46" s="39"/>
      <c r="D46" s="20" t="s">
        <v>17</v>
      </c>
      <c r="E46" s="21" t="n">
        <v>46.0</v>
      </c>
      <c r="F46" s="22" t="n">
        <f>45</f>
        <v>45.0</v>
      </c>
      <c r="G46" s="21" t="n">
        <v>3.5273E8</v>
      </c>
      <c r="H46" s="22" t="n">
        <f>345150000</f>
        <v>3.4515E8</v>
      </c>
    </row>
    <row r="47" spans="1:8" ht="24.9" customHeight="1">
      <c r="A47" s="51"/>
      <c r="B47" s="57"/>
      <c r="C47" s="39"/>
      <c r="D47" s="24" t="s">
        <v>18</v>
      </c>
      <c r="E47" s="25" t="n">
        <v>119.0</v>
      </c>
      <c r="F47" s="26" t="n">
        <f>118</f>
        <v>118.0</v>
      </c>
      <c r="G47" s="25" t="n">
        <v>9.07603E8</v>
      </c>
      <c r="H47" s="26" t="n">
        <f>900023000</f>
        <v>9.00023E8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340.0</v>
      </c>
      <c r="F48" s="18" t="n">
        <f>329</f>
        <v>329.0</v>
      </c>
      <c r="G48" s="17" t="n">
        <v>5.676365E8</v>
      </c>
      <c r="H48" s="18" t="n">
        <f>549156500</f>
        <v>5.491565E8</v>
      </c>
    </row>
    <row r="49" spans="1:8" ht="24.9" customHeight="1">
      <c r="A49" s="51"/>
      <c r="B49" s="57"/>
      <c r="C49" s="39"/>
      <c r="D49" s="20" t="s">
        <v>16</v>
      </c>
      <c r="E49" s="21" t="n">
        <v>317.0</v>
      </c>
      <c r="F49" s="22" t="n">
        <f>109</f>
        <v>109.0</v>
      </c>
      <c r="G49" s="21" t="n">
        <v>5.2633181E8</v>
      </c>
      <c r="H49" s="22" t="n">
        <f>181385810</f>
        <v>1.8138581E8</v>
      </c>
    </row>
    <row r="50" spans="1:8" ht="24.9" customHeight="1">
      <c r="A50" s="51"/>
      <c r="B50" s="57"/>
      <c r="C50" s="39"/>
      <c r="D50" s="20" t="s">
        <v>17</v>
      </c>
      <c r="E50" s="21" t="n">
        <v>103.0</v>
      </c>
      <c r="F50" s="22" t="n">
        <f>3</f>
        <v>3.0</v>
      </c>
      <c r="G50" s="21" t="n">
        <v>1.7037356E8</v>
      </c>
      <c r="H50" s="22" t="n">
        <f>4945560</f>
        <v>4945560.0</v>
      </c>
    </row>
    <row r="51" spans="1:8" ht="24.9" customHeight="1">
      <c r="A51" s="51"/>
      <c r="B51" s="57"/>
      <c r="C51" s="39"/>
      <c r="D51" s="24" t="s">
        <v>18</v>
      </c>
      <c r="E51" s="25" t="n">
        <v>760.0</v>
      </c>
      <c r="F51" s="26" t="n">
        <f>441</f>
        <v>441.0</v>
      </c>
      <c r="G51" s="25" t="n">
        <v>1.26434187E9</v>
      </c>
      <c r="H51" s="26" t="n">
        <f>735487870</f>
        <v>7.3548787E8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537.0</v>
      </c>
      <c r="F56" s="18" t="n">
        <f>12</f>
        <v>12.0</v>
      </c>
      <c r="G56" s="17" t="n">
        <v>4.25784E8</v>
      </c>
      <c r="H56" s="18" t="n">
        <f>9523000</f>
        <v>9523000.0</v>
      </c>
    </row>
    <row r="57" spans="1:8" ht="24.9" customHeight="1">
      <c r="A57" s="51"/>
      <c r="B57" s="57"/>
      <c r="C57" s="39"/>
      <c r="D57" s="20" t="s">
        <v>16</v>
      </c>
      <c r="E57" s="21" t="n">
        <v>660.0</v>
      </c>
      <c r="F57" s="22" t="n">
        <f>31</f>
        <v>31.0</v>
      </c>
      <c r="G57" s="21" t="n">
        <v>5.241226E8</v>
      </c>
      <c r="H57" s="22" t="n">
        <f>24534600</f>
        <v>2.45346E7</v>
      </c>
    </row>
    <row r="58" spans="1:8" ht="24.9" customHeight="1">
      <c r="A58" s="51"/>
      <c r="B58" s="57"/>
      <c r="C58" s="39"/>
      <c r="D58" s="20" t="s">
        <v>17</v>
      </c>
      <c r="E58" s="21" t="n">
        <v>768.0</v>
      </c>
      <c r="F58" s="22" t="n">
        <f>20</f>
        <v>20.0</v>
      </c>
      <c r="G58" s="21" t="n">
        <v>6.1332766E8</v>
      </c>
      <c r="H58" s="22" t="n">
        <f>16056660</f>
        <v>1.605666E7</v>
      </c>
    </row>
    <row r="59" spans="1:8" ht="24.9" customHeight="1">
      <c r="A59" s="51"/>
      <c r="B59" s="57"/>
      <c r="C59" s="39"/>
      <c r="D59" s="24" t="s">
        <v>18</v>
      </c>
      <c r="E59" s="25" t="n">
        <v>1965.0</v>
      </c>
      <c r="F59" s="26" t="n">
        <f>63</f>
        <v>63.0</v>
      </c>
      <c r="G59" s="25" t="n">
        <v>1.56323426E9</v>
      </c>
      <c r="H59" s="26" t="n">
        <f>50114260</f>
        <v>5.011426E7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238.0</v>
      </c>
      <c r="F60" s="18" t="n">
        <f>14</f>
        <v>14.0</v>
      </c>
      <c r="G60" s="17" t="n">
        <v>1.22594349E9</v>
      </c>
      <c r="H60" s="18" t="n">
        <f>72280990</f>
        <v>7.228099E7</v>
      </c>
    </row>
    <row r="61" spans="1:8" ht="24.9" customHeight="1">
      <c r="A61" s="51"/>
      <c r="B61" s="57"/>
      <c r="C61" s="39"/>
      <c r="D61" s="20" t="s">
        <v>16</v>
      </c>
      <c r="E61" s="21" t="n">
        <v>11.0</v>
      </c>
      <c r="F61" s="22" t="n">
        <f>0</f>
        <v>0.0</v>
      </c>
      <c r="G61" s="21" t="n">
        <v>5.66572E7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21.0</v>
      </c>
      <c r="F62" s="22" t="n">
        <f>0</f>
        <v>0.0</v>
      </c>
      <c r="G62" s="21" t="n">
        <v>1.080782E8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270.0</v>
      </c>
      <c r="F63" s="26" t="n">
        <f>14</f>
        <v>14.0</v>
      </c>
      <c r="G63" s="25" t="n">
        <v>1.39067889E9</v>
      </c>
      <c r="H63" s="26" t="n">
        <f>72280990</f>
        <v>7.228099E7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1.0</v>
      </c>
      <c r="F76" s="18" t="n">
        <f>0</f>
        <v>0.0</v>
      </c>
      <c r="G76" s="17" t="n">
        <v>300000.0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26.0</v>
      </c>
      <c r="F77" s="22" t="n">
        <f>0</f>
        <v>0.0</v>
      </c>
      <c r="G77" s="21" t="n">
        <v>7660500.0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11.0</v>
      </c>
      <c r="F78" s="22" t="n">
        <f>0</f>
        <v>0.0</v>
      </c>
      <c r="G78" s="21" t="n">
        <v>3328500.0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38.0</v>
      </c>
      <c r="F79" s="26" t="n">
        <f>0</f>
        <v>0.0</v>
      </c>
      <c r="G79" s="25" t="n">
        <v>1.1289E7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455.0</v>
      </c>
      <c r="F92" s="18" t="n">
        <f>0</f>
        <v>0.0</v>
      </c>
      <c r="G92" s="17" t="n">
        <v>7.123067E8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46.0</v>
      </c>
      <c r="F93" s="22" t="n">
        <f>0</f>
        <v>0.0</v>
      </c>
      <c r="G93" s="21" t="n">
        <v>7.21042E7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468.0</v>
      </c>
      <c r="F94" s="22" t="n">
        <f>0</f>
        <v>0.0</v>
      </c>
      <c r="G94" s="21" t="n">
        <v>7.3443E8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969.0</v>
      </c>
      <c r="F95" s="26" t="n">
        <f>0</f>
        <v>0.0</v>
      </c>
      <c r="G95" s="25" t="n">
        <v>1.5188409E9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4.0</v>
      </c>
      <c r="F96" s="18" t="n">
        <f>0</f>
        <v>0.0</v>
      </c>
      <c r="G96" s="17" t="n">
        <v>9396000.0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4.0</v>
      </c>
      <c r="F99" s="26" t="n">
        <f>0</f>
        <v>0.0</v>
      </c>
      <c r="G99" s="25" t="n">
        <v>9396000.0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10.0</v>
      </c>
      <c r="F102" s="22" t="n">
        <f>0</f>
        <v>0.0</v>
      </c>
      <c r="G102" s="21" t="n">
        <v>1.7619E7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10.0</v>
      </c>
      <c r="F103" s="26" t="n">
        <f>0</f>
        <v>0.0</v>
      </c>
      <c r="G103" s="25" t="n">
        <v>1.7619E7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17120.0</v>
      </c>
      <c r="F108" s="18" t="n">
        <f>428</f>
        <v>428.0</v>
      </c>
      <c r="G108" s="17" t="n">
        <v>2.13303596E12</v>
      </c>
      <c r="H108" s="18" t="n">
        <f>53281940000</f>
        <v>5.328194E10</v>
      </c>
    </row>
    <row r="109" spans="1:8" ht="24.9" customHeight="1">
      <c r="A109" s="51"/>
      <c r="B109" s="57"/>
      <c r="C109" s="39"/>
      <c r="D109" s="20" t="s">
        <v>16</v>
      </c>
      <c r="E109" s="21" t="n">
        <v>13812.0</v>
      </c>
      <c r="F109" s="22" t="n">
        <f>1243</f>
        <v>1243.0</v>
      </c>
      <c r="G109" s="21" t="n">
        <v>1.71960819E12</v>
      </c>
      <c r="H109" s="22" t="n">
        <f>154857430000</f>
        <v>1.5485743E11</v>
      </c>
    </row>
    <row r="110" spans="1:8" ht="24.9" customHeight="1">
      <c r="A110" s="51"/>
      <c r="B110" s="57"/>
      <c r="C110" s="39"/>
      <c r="D110" s="20" t="s">
        <v>17</v>
      </c>
      <c r="E110" s="21" t="n">
        <v>9099.0</v>
      </c>
      <c r="F110" s="22" t="n">
        <f>1183</f>
        <v>1183.0</v>
      </c>
      <c r="G110" s="21" t="n">
        <v>1.133331705E12</v>
      </c>
      <c r="H110" s="22" t="n">
        <f>147358545000</f>
        <v>1.47358545E11</v>
      </c>
    </row>
    <row r="111" spans="1:8" ht="24.9" customHeight="1">
      <c r="A111" s="51"/>
      <c r="B111" s="57"/>
      <c r="C111" s="39"/>
      <c r="D111" s="24" t="s">
        <v>18</v>
      </c>
      <c r="E111" s="25" t="n">
        <v>40031.0</v>
      </c>
      <c r="F111" s="26" t="n">
        <f>2854</f>
        <v>2854.0</v>
      </c>
      <c r="G111" s="25" t="n">
        <v>4.985975855E12</v>
      </c>
      <c r="H111" s="26" t="n">
        <f>355497915000</f>
        <v>3.55497915E11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2884.0</v>
      </c>
      <c r="F113" s="22" t="n">
        <f>0</f>
        <v>0.0</v>
      </c>
      <c r="G113" s="21" t="n">
        <v>3.5901154E10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2045.0</v>
      </c>
      <c r="F114" s="22" t="n">
        <f>0</f>
        <v>0.0</v>
      </c>
      <c r="G114" s="21" t="n">
        <v>2.5472582E10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4929.0</v>
      </c>
      <c r="F115" s="26" t="n">
        <f>0</f>
        <v>0.0</v>
      </c>
      <c r="G115" s="25" t="n">
        <v>6.1373736E10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3044.0</v>
      </c>
      <c r="F117" s="22" t="n">
        <f>3044</f>
        <v>3044.0</v>
      </c>
      <c r="G117" s="21" t="n">
        <v>2.6674572E10</v>
      </c>
      <c r="H117" s="22" t="n">
        <f>26674572000</f>
        <v>2.6674572E10</v>
      </c>
    </row>
    <row r="118" spans="1:8" ht="24.9" customHeight="1">
      <c r="A118" s="51"/>
      <c r="B118" s="57"/>
      <c r="C118" s="39"/>
      <c r="D118" s="20" t="s">
        <v>17</v>
      </c>
      <c r="E118" s="21" t="n">
        <v>1020.0</v>
      </c>
      <c r="F118" s="22" t="n">
        <f>0</f>
        <v>0.0</v>
      </c>
      <c r="G118" s="21" t="n">
        <v>8.925565E9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4064.0</v>
      </c>
      <c r="F119" s="26" t="n">
        <f>3044</f>
        <v>3044.0</v>
      </c>
      <c r="G119" s="25" t="n">
        <v>3.5600137E10</v>
      </c>
      <c r="H119" s="26" t="n">
        <f>26674572000</f>
        <v>2.6674572E10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1212.0</v>
      </c>
      <c r="F120" s="18" t="n">
        <f>0</f>
        <v>0.0</v>
      </c>
      <c r="G120" s="17" t="n">
        <v>2.9698450625E10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242.0</v>
      </c>
      <c r="F121" s="22" t="n">
        <f>0</f>
        <v>0.0</v>
      </c>
      <c r="G121" s="21" t="n">
        <v>5.961421875E9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811.0</v>
      </c>
      <c r="F122" s="22" t="n">
        <f>0</f>
        <v>0.0</v>
      </c>
      <c r="G122" s="21" t="n">
        <v>2.0014006875E10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2265.0</v>
      </c>
      <c r="F123" s="26" t="n">
        <f>0</f>
        <v>0.0</v>
      </c>
      <c r="G123" s="25" t="n">
        <v>5.5673879375E10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7987.0</v>
      </c>
      <c r="F124" s="18" t="n">
        <f>0</f>
        <v>0.0</v>
      </c>
      <c r="G124" s="17" t="n">
        <v>1.73294187E11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1765.0</v>
      </c>
      <c r="F125" s="22" t="n">
        <f>0</f>
        <v>0.0</v>
      </c>
      <c r="G125" s="21" t="n">
        <v>3.8057648E10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2053.0</v>
      </c>
      <c r="F126" s="22" t="n">
        <f>0</f>
        <v>0.0</v>
      </c>
      <c r="G126" s="21" t="n">
        <v>4.4141145E10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11805.0</v>
      </c>
      <c r="F127" s="26" t="n">
        <f>0</f>
        <v>0.0</v>
      </c>
      <c r="G127" s="25" t="n">
        <v>2.5549298E11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231.0</v>
      </c>
      <c r="F128" s="18" t="n">
        <f>0</f>
        <v>0.0</v>
      </c>
      <c r="G128" s="17" t="n">
        <v>4.942979E8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307.0</v>
      </c>
      <c r="F129" s="22" t="n">
        <f>0</f>
        <v>0.0</v>
      </c>
      <c r="G129" s="21" t="n">
        <v>6.534181E8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56.0</v>
      </c>
      <c r="F130" s="22" t="n">
        <f>0</f>
        <v>0.0</v>
      </c>
      <c r="G130" s="21" t="n">
        <v>1.191724E8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594.0</v>
      </c>
      <c r="F131" s="26" t="n">
        <f>0</f>
        <v>0.0</v>
      </c>
      <c r="G131" s="25" t="n">
        <v>1.2668884E9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6397.0</v>
      </c>
      <c r="F132" s="18" t="n">
        <f>0</f>
        <v>0.0</v>
      </c>
      <c r="G132" s="17" t="n">
        <v>1.39209699E10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1298.0</v>
      </c>
      <c r="F133" s="22" t="n">
        <f>0</f>
        <v>0.0</v>
      </c>
      <c r="G133" s="21" t="n">
        <v>2.80946085E9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1982.0</v>
      </c>
      <c r="F134" s="22" t="n">
        <f>0</f>
        <v>0.0</v>
      </c>
      <c r="G134" s="21" t="n">
        <v>4.2884296E9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9677.0</v>
      </c>
      <c r="F135" s="26" t="n">
        <f>0</f>
        <v>0.0</v>
      </c>
      <c r="G135" s="25" t="n">
        <v>2.101886035E10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71.0</v>
      </c>
      <c r="F136" s="18" t="n">
        <f>0</f>
        <v>0.0</v>
      </c>
      <c r="G136" s="17" t="n">
        <v>1.495233E8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74.0</v>
      </c>
      <c r="F137" s="22" t="n">
        <f>0</f>
        <v>0.0</v>
      </c>
      <c r="G137" s="21" t="n">
        <v>1.559135E8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58.0</v>
      </c>
      <c r="F138" s="22" t="n">
        <f>0</f>
        <v>0.0</v>
      </c>
      <c r="G138" s="21" t="n">
        <v>1.221875E8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203.0</v>
      </c>
      <c r="F139" s="26" t="n">
        <f>0</f>
        <v>0.0</v>
      </c>
      <c r="G139" s="25" t="n">
        <v>4.276243E8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1856.0</v>
      </c>
      <c r="F144" s="18" t="n">
        <f>0</f>
        <v>0.0</v>
      </c>
      <c r="G144" s="17" t="n">
        <v>7.864198E9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861.0</v>
      </c>
      <c r="F145" s="22" t="n">
        <f>0</f>
        <v>0.0</v>
      </c>
      <c r="G145" s="21" t="n">
        <v>3.657302E9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512.0</v>
      </c>
      <c r="F146" s="22" t="n">
        <f>0</f>
        <v>0.0</v>
      </c>
      <c r="G146" s="21" t="n">
        <v>2.1827455E9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3229.0</v>
      </c>
      <c r="F147" s="26" t="n">
        <f>0</f>
        <v>0.0</v>
      </c>
      <c r="G147" s="25" t="n">
        <v>1.37042455E10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301.0</v>
      </c>
      <c r="F148" s="18" t="n">
        <f>0</f>
        <v>0.0</v>
      </c>
      <c r="G148" s="17" t="n">
        <v>2.6282E8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252.0</v>
      </c>
      <c r="F149" s="22" t="n">
        <f>0</f>
        <v>0.0</v>
      </c>
      <c r="G149" s="21" t="n">
        <v>2.196355E8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357.0</v>
      </c>
      <c r="F150" s="22" t="n">
        <f>0</f>
        <v>0.0</v>
      </c>
      <c r="G150" s="21" t="n">
        <v>3.124178E8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910.0</v>
      </c>
      <c r="F151" s="26" t="n">
        <f>0</f>
        <v>0.0</v>
      </c>
      <c r="G151" s="25" t="n">
        <v>7.948733E8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594.0</v>
      </c>
      <c r="F152" s="18" t="n">
        <f>0</f>
        <v>0.0</v>
      </c>
      <c r="G152" s="17" t="n">
        <v>5.0594215E8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191.0</v>
      </c>
      <c r="F153" s="22" t="n">
        <f>0</f>
        <v>0.0</v>
      </c>
      <c r="G153" s="21" t="n">
        <v>1.6223465E8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375.0</v>
      </c>
      <c r="F154" s="22" t="n">
        <f>0</f>
        <v>0.0</v>
      </c>
      <c r="G154" s="21" t="n">
        <v>3.197466E8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1160.0</v>
      </c>
      <c r="F155" s="26" t="n">
        <f>0</f>
        <v>0.0</v>
      </c>
      <c r="G155" s="25" t="n">
        <v>9.879234E8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135.0</v>
      </c>
      <c r="F156" s="18" t="n">
        <f>0</f>
        <v>0.0</v>
      </c>
      <c r="G156" s="17" t="n">
        <v>1.177446E8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212.0</v>
      </c>
      <c r="F157" s="22" t="n">
        <f>0</f>
        <v>0.0</v>
      </c>
      <c r="G157" s="21" t="n">
        <v>1.844092E8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324.0</v>
      </c>
      <c r="F158" s="22" t="n">
        <f>0</f>
        <v>0.0</v>
      </c>
      <c r="G158" s="21" t="n">
        <v>2.813544E8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671.0</v>
      </c>
      <c r="F159" s="26" t="n">
        <f>0</f>
        <v>0.0</v>
      </c>
      <c r="G159" s="25" t="n">
        <v>5.835082E8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53.0</v>
      </c>
      <c r="F168" s="18" t="n">
        <f>0</f>
        <v>0.0</v>
      </c>
      <c r="G168" s="17" t="n">
        <v>1.194735E8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816.0</v>
      </c>
      <c r="F169" s="22" t="n">
        <f>0</f>
        <v>0.0</v>
      </c>
      <c r="G169" s="21" t="n">
        <v>1.844139E9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334.0</v>
      </c>
      <c r="F170" s="22" t="n">
        <f>0</f>
        <v>0.0</v>
      </c>
      <c r="G170" s="21" t="n">
        <v>7.547545E8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1203.0</v>
      </c>
      <c r="F171" s="26" t="n">
        <f>0</f>
        <v>0.0</v>
      </c>
      <c r="G171" s="25" t="n">
        <v>2.718367E9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8.0</v>
      </c>
      <c r="F176" s="18" t="n">
        <f>0</f>
        <v>0.0</v>
      </c>
      <c r="G176" s="17" t="n">
        <v>1.6054E7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12.0</v>
      </c>
      <c r="F178" s="22" t="n">
        <f>0</f>
        <v>0.0</v>
      </c>
      <c r="G178" s="21" t="n">
        <v>2.4116E7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20.0</v>
      </c>
      <c r="F179" s="26" t="n">
        <f>0</f>
        <v>0.0</v>
      </c>
      <c r="G179" s="25" t="n">
        <v>4.017E7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291.0</v>
      </c>
      <c r="F204" s="18" t="n">
        <f>0</f>
        <v>0.0</v>
      </c>
      <c r="G204" s="17" t="n">
        <v>1.2953665E9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333.0</v>
      </c>
      <c r="F205" s="22" t="n">
        <f>0</f>
        <v>0.0</v>
      </c>
      <c r="G205" s="21" t="n">
        <v>1.504093E9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1204.0</v>
      </c>
      <c r="F206" s="22" t="n">
        <f>0</f>
        <v>0.0</v>
      </c>
      <c r="G206" s="21" t="n">
        <v>5.439188E9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1828.0</v>
      </c>
      <c r="F207" s="26" t="n">
        <f>0</f>
        <v>0.0</v>
      </c>
      <c r="G207" s="25" t="n">
        <v>8.2386475E9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480.0</v>
      </c>
      <c r="F214" s="22" t="n">
        <f>480</f>
        <v>480.0</v>
      </c>
      <c r="G214" s="21" t="n">
        <v>5.551488E8</v>
      </c>
      <c r="H214" s="22" t="n">
        <f>555148800</f>
        <v>5.551488E8</v>
      </c>
    </row>
    <row r="215" spans="1:8" ht="24.9" customHeight="1">
      <c r="A215" s="57"/>
      <c r="B215" s="59"/>
      <c r="C215" s="39"/>
      <c r="D215" s="24" t="s">
        <v>18</v>
      </c>
      <c r="E215" s="25" t="n">
        <v>480.0</v>
      </c>
      <c r="F215" s="26" t="n">
        <f>480</f>
        <v>480.0</v>
      </c>
      <c r="G215" s="25" t="n">
        <v>5.551488E8</v>
      </c>
      <c r="H215" s="26" t="n">
        <f>555148800</f>
        <v>5.551488E8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46300.0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46300.0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6812</f>
        <v>6812.0</v>
      </c>
      <c r="E12" s="35" t="n">
        <f>2739</f>
        <v>2739.0</v>
      </c>
      <c r="F12" s="17" t="n">
        <f>6116</f>
        <v>6116.0</v>
      </c>
      <c r="G12" s="35" t="n">
        <f>1229</f>
        <v>1229.0</v>
      </c>
      <c r="H12" s="17" t="n">
        <f>12928</f>
        <v>12928.0</v>
      </c>
      <c r="I12" s="35" t="n">
        <f>3968</f>
        <v>3968.0</v>
      </c>
      <c r="J12" s="17" t="n">
        <f>2117269170</f>
        <v>2.11726917E9</v>
      </c>
      <c r="K12" s="35" t="n">
        <f>1603205170</f>
        <v>1.60320517E9</v>
      </c>
      <c r="L12" s="17" t="n">
        <f>1499368449</f>
        <v>1.499368449E9</v>
      </c>
      <c r="M12" s="35" t="n">
        <f>282012449</f>
        <v>2.82012449E8</v>
      </c>
      <c r="N12" s="17" t="n">
        <f>3616637619</f>
        <v>3.616637619E9</v>
      </c>
      <c r="O12" s="35" t="n">
        <f>1885217619</f>
        <v>1.885217619E9</v>
      </c>
    </row>
    <row r="13" spans="1:15" ht="24.9" customHeight="1">
      <c r="A13" s="38"/>
      <c r="B13" s="62"/>
      <c r="C13" s="20" t="s">
        <v>16</v>
      </c>
      <c r="D13" s="21" t="n">
        <f>6301</f>
        <v>6301.0</v>
      </c>
      <c r="E13" s="36" t="n">
        <f>2333</f>
        <v>2333.0</v>
      </c>
      <c r="F13" s="21" t="n">
        <f>6373</f>
        <v>6373.0</v>
      </c>
      <c r="G13" s="36" t="n">
        <f>2628</f>
        <v>2628.0</v>
      </c>
      <c r="H13" s="21" t="n">
        <f>12674</f>
        <v>12674.0</v>
      </c>
      <c r="I13" s="36" t="n">
        <f>4961</f>
        <v>4961.0</v>
      </c>
      <c r="J13" s="21" t="n">
        <f>2011821220</f>
        <v>2.01182122E9</v>
      </c>
      <c r="K13" s="36" t="n">
        <f>1011260220</f>
        <v>1.01126022E9</v>
      </c>
      <c r="L13" s="21" t="n">
        <f>2761913060</f>
        <v>2.76191306E9</v>
      </c>
      <c r="M13" s="36" t="n">
        <f>1501586060</f>
        <v>1.50158606E9</v>
      </c>
      <c r="N13" s="21" t="n">
        <f>4773734280</f>
        <v>4.77373428E9</v>
      </c>
      <c r="O13" s="36" t="n">
        <f>2512846280</f>
        <v>2.51284628E9</v>
      </c>
    </row>
    <row r="14" spans="1:15" ht="24.9" customHeight="1">
      <c r="A14" s="38"/>
      <c r="B14" s="62"/>
      <c r="C14" s="20" t="s">
        <v>17</v>
      </c>
      <c r="D14" s="21" t="n">
        <f>23522</f>
        <v>23522.0</v>
      </c>
      <c r="E14" s="36" t="n">
        <f>19200</f>
        <v>19200.0</v>
      </c>
      <c r="F14" s="21" t="n">
        <f>11387</f>
        <v>11387.0</v>
      </c>
      <c r="G14" s="36" t="n">
        <f>7057</f>
        <v>7057.0</v>
      </c>
      <c r="H14" s="21" t="n">
        <f>34909</f>
        <v>34909.0</v>
      </c>
      <c r="I14" s="36" t="n">
        <f>26257</f>
        <v>26257.0</v>
      </c>
      <c r="J14" s="21" t="n">
        <f>15151455957</f>
        <v>1.5151455957E10</v>
      </c>
      <c r="K14" s="36" t="n">
        <f>13666798957</f>
        <v>1.3666798957E10</v>
      </c>
      <c r="L14" s="21" t="n">
        <f>10904747794</f>
        <v>1.0904747794E10</v>
      </c>
      <c r="M14" s="36" t="n">
        <f>8504790794</f>
        <v>8.504790794E9</v>
      </c>
      <c r="N14" s="21" t="n">
        <f>26056203751</f>
        <v>2.6056203751E10</v>
      </c>
      <c r="O14" s="36" t="n">
        <f>22171589751</f>
        <v>2.2171589751E10</v>
      </c>
    </row>
    <row r="15" spans="1:15" ht="24.9" customHeight="1">
      <c r="A15" s="38"/>
      <c r="B15" s="62"/>
      <c r="C15" s="24" t="s">
        <v>18</v>
      </c>
      <c r="D15" s="25" t="n">
        <f>36635</f>
        <v>36635.0</v>
      </c>
      <c r="E15" s="37" t="n">
        <f>24272</f>
        <v>24272.0</v>
      </c>
      <c r="F15" s="25" t="n">
        <f>23876</f>
        <v>23876.0</v>
      </c>
      <c r="G15" s="37" t="n">
        <f>10914</f>
        <v>10914.0</v>
      </c>
      <c r="H15" s="25" t="n">
        <f>60511</f>
        <v>60511.0</v>
      </c>
      <c r="I15" s="37" t="n">
        <f>35186</f>
        <v>35186.0</v>
      </c>
      <c r="J15" s="25" t="n">
        <f>19280546347</f>
        <v>1.9280546347E10</v>
      </c>
      <c r="K15" s="37" t="n">
        <f>16281264347</f>
        <v>1.6281264347E10</v>
      </c>
      <c r="L15" s="25" t="n">
        <f>15166029303</f>
        <v>1.5166029303E10</v>
      </c>
      <c r="M15" s="37" t="n">
        <f>10288389303</f>
        <v>1.0288389303E10</v>
      </c>
      <c r="N15" s="25" t="n">
        <f>34446575650</f>
        <v>3.444657565E10</v>
      </c>
      <c r="O15" s="37" t="n">
        <f>26569653650</f>
        <v>2.656965365E10</v>
      </c>
    </row>
    <row r="16" spans="1:15" ht="24.9" customHeight="1">
      <c r="A16" s="38"/>
      <c r="B16" s="61" t="s">
        <v>105</v>
      </c>
      <c r="C16" s="16" t="s">
        <v>15</v>
      </c>
      <c r="D16" s="17" t="n">
        <f>10849</f>
        <v>10849.0</v>
      </c>
      <c r="E16" s="35" t="n">
        <f>1180</f>
        <v>1180.0</v>
      </c>
      <c r="F16" s="17" t="n">
        <f>9192</f>
        <v>9192.0</v>
      </c>
      <c r="G16" s="35" t="n">
        <f>530</f>
        <v>530.0</v>
      </c>
      <c r="H16" s="17" t="n">
        <f>20041</f>
        <v>20041.0</v>
      </c>
      <c r="I16" s="35" t="n">
        <f>1710</f>
        <v>1710.0</v>
      </c>
      <c r="J16" s="17" t="n">
        <f>262074900</f>
        <v>2.620749E8</v>
      </c>
      <c r="K16" s="35" t="n">
        <f>4707800</f>
        <v>4707800.0</v>
      </c>
      <c r="L16" s="17" t="n">
        <f>497052360</f>
        <v>4.9705236E8</v>
      </c>
      <c r="M16" s="35" t="n">
        <f>11194060</f>
        <v>1.119406E7</v>
      </c>
      <c r="N16" s="17" t="n">
        <f>759127260</f>
        <v>7.5912726E8</v>
      </c>
      <c r="O16" s="35" t="n">
        <f>15901860</f>
        <v>1.590186E7</v>
      </c>
    </row>
    <row r="17" spans="1:15" ht="24.9" customHeight="1">
      <c r="A17" s="38"/>
      <c r="B17" s="62"/>
      <c r="C17" s="20" t="s">
        <v>16</v>
      </c>
      <c r="D17" s="21" t="n">
        <f>6138</f>
        <v>6138.0</v>
      </c>
      <c r="E17" s="36" t="n">
        <f>160</f>
        <v>160.0</v>
      </c>
      <c r="F17" s="21" t="n">
        <f>2599</f>
        <v>2599.0</v>
      </c>
      <c r="G17" s="36" t="n">
        <f>30</f>
        <v>30.0</v>
      </c>
      <c r="H17" s="21" t="n">
        <f>8737</f>
        <v>8737.0</v>
      </c>
      <c r="I17" s="36" t="n">
        <f>190</f>
        <v>190.0</v>
      </c>
      <c r="J17" s="21" t="n">
        <f>114873530</f>
        <v>1.1487353E8</v>
      </c>
      <c r="K17" s="36" t="n">
        <f>1579530</f>
        <v>1579530.0</v>
      </c>
      <c r="L17" s="21" t="n">
        <f>165361300</f>
        <v>1.653613E8</v>
      </c>
      <c r="M17" s="36" t="n">
        <f>684900</f>
        <v>684900.0</v>
      </c>
      <c r="N17" s="21" t="n">
        <f>280234830</f>
        <v>2.8023483E8</v>
      </c>
      <c r="O17" s="36" t="n">
        <f>2264430</f>
        <v>2264430.0</v>
      </c>
    </row>
    <row r="18" spans="1:15" ht="24.9" customHeight="1">
      <c r="A18" s="38"/>
      <c r="B18" s="62"/>
      <c r="C18" s="20" t="s">
        <v>17</v>
      </c>
      <c r="D18" s="21" t="n">
        <f>5414</f>
        <v>5414.0</v>
      </c>
      <c r="E18" s="36" t="n">
        <f>140</f>
        <v>140.0</v>
      </c>
      <c r="F18" s="21" t="n">
        <f>2682</f>
        <v>2682.0</v>
      </c>
      <c r="G18" s="36" t="n">
        <f>140</f>
        <v>140.0</v>
      </c>
      <c r="H18" s="21" t="n">
        <f>8096</f>
        <v>8096.0</v>
      </c>
      <c r="I18" s="36" t="n">
        <f>280</f>
        <v>280.0</v>
      </c>
      <c r="J18" s="21" t="n">
        <f>169684220</f>
        <v>1.6968422E8</v>
      </c>
      <c r="K18" s="36" t="n">
        <f>2627520</f>
        <v>2627520.0</v>
      </c>
      <c r="L18" s="21" t="n">
        <f>154257350</f>
        <v>1.5425735E8</v>
      </c>
      <c r="M18" s="36" t="n">
        <f>7389150</f>
        <v>7389150.0</v>
      </c>
      <c r="N18" s="21" t="n">
        <f>323941570</f>
        <v>3.2394157E8</v>
      </c>
      <c r="O18" s="36" t="n">
        <f>10016670</f>
        <v>1.001667E7</v>
      </c>
    </row>
    <row r="19" spans="1:15" ht="24.9" customHeight="1">
      <c r="A19" s="38"/>
      <c r="B19" s="62"/>
      <c r="C19" s="24" t="s">
        <v>18</v>
      </c>
      <c r="D19" s="25" t="n">
        <f>22401</f>
        <v>22401.0</v>
      </c>
      <c r="E19" s="37" t="n">
        <f>1480</f>
        <v>1480.0</v>
      </c>
      <c r="F19" s="25" t="n">
        <f>14473</f>
        <v>14473.0</v>
      </c>
      <c r="G19" s="37" t="n">
        <f>700</f>
        <v>700.0</v>
      </c>
      <c r="H19" s="25" t="n">
        <f>36874</f>
        <v>36874.0</v>
      </c>
      <c r="I19" s="37" t="n">
        <f>2180</f>
        <v>2180.0</v>
      </c>
      <c r="J19" s="25" t="n">
        <f>546632650</f>
        <v>5.4663265E8</v>
      </c>
      <c r="K19" s="37" t="n">
        <f>8914850</f>
        <v>8914850.0</v>
      </c>
      <c r="L19" s="25" t="n">
        <f>816671010</f>
        <v>8.1667101E8</v>
      </c>
      <c r="M19" s="37" t="n">
        <f>19268110</f>
        <v>1.926811E7</v>
      </c>
      <c r="N19" s="25" t="n">
        <f>1363303660</f>
        <v>1.36330366E9</v>
      </c>
      <c r="O19" s="37" t="n">
        <f>28182960</f>
        <v>2.818296E7</v>
      </c>
    </row>
    <row r="20" spans="1:15" ht="24.9" customHeight="1">
      <c r="A20" s="38"/>
      <c r="B20" s="61" t="s">
        <v>106</v>
      </c>
      <c r="C20" s="16" t="s">
        <v>15</v>
      </c>
      <c r="D20" s="17" t="n">
        <f>29</f>
        <v>29.0</v>
      </c>
      <c r="E20" s="35" t="n">
        <f>29</f>
        <v>29.0</v>
      </c>
      <c r="F20" s="17" t="n">
        <f>0</f>
        <v>0.0</v>
      </c>
      <c r="G20" s="35" t="n">
        <f>0</f>
        <v>0.0</v>
      </c>
      <c r="H20" s="17" t="n">
        <f>29</f>
        <v>29.0</v>
      </c>
      <c r="I20" s="35" t="n">
        <f>29</f>
        <v>29.0</v>
      </c>
      <c r="J20" s="17" t="n">
        <f>13938000</f>
        <v>1.3938E7</v>
      </c>
      <c r="K20" s="35" t="n">
        <f>13938000</f>
        <v>1.3938E7</v>
      </c>
      <c r="L20" s="17" t="n">
        <f>0</f>
        <v>0.0</v>
      </c>
      <c r="M20" s="35" t="n">
        <f>0</f>
        <v>0.0</v>
      </c>
      <c r="N20" s="17" t="n">
        <f>13938000</f>
        <v>1.3938E7</v>
      </c>
      <c r="O20" s="35" t="n">
        <f>13938000</f>
        <v>1.3938E7</v>
      </c>
    </row>
    <row r="21" spans="1:15" ht="24.9" customHeight="1">
      <c r="A21" s="38"/>
      <c r="B21" s="62"/>
      <c r="C21" s="20" t="s">
        <v>16</v>
      </c>
      <c r="D21" s="21" t="n">
        <f>110</f>
        <v>110.0</v>
      </c>
      <c r="E21" s="36" t="n">
        <f>110</f>
        <v>110.0</v>
      </c>
      <c r="F21" s="21" t="n">
        <f>110</f>
        <v>110.0</v>
      </c>
      <c r="G21" s="36" t="n">
        <f>110</f>
        <v>110.0</v>
      </c>
      <c r="H21" s="21" t="n">
        <f>220</f>
        <v>220.0</v>
      </c>
      <c r="I21" s="36" t="n">
        <f>220</f>
        <v>220.0</v>
      </c>
      <c r="J21" s="21" t="n">
        <f>128700000</f>
        <v>1.287E8</v>
      </c>
      <c r="K21" s="36" t="n">
        <f>128700000</f>
        <v>1.287E8</v>
      </c>
      <c r="L21" s="21" t="n">
        <f>115500000</f>
        <v>1.155E8</v>
      </c>
      <c r="M21" s="36" t="n">
        <f>115500000</f>
        <v>1.155E8</v>
      </c>
      <c r="N21" s="21" t="n">
        <f>244200000</f>
        <v>2.442E8</v>
      </c>
      <c r="O21" s="36" t="n">
        <f>244200000</f>
        <v>2.442E8</v>
      </c>
    </row>
    <row r="22" spans="1:15" ht="24.9" customHeight="1">
      <c r="A22" s="38"/>
      <c r="B22" s="62"/>
      <c r="C22" s="20" t="s">
        <v>17</v>
      </c>
      <c r="D22" s="21" t="n">
        <f>141</f>
        <v>141.0</v>
      </c>
      <c r="E22" s="36" t="n">
        <f>100</f>
        <v>100.0</v>
      </c>
      <c r="F22" s="21" t="n">
        <f>380</f>
        <v>380.0</v>
      </c>
      <c r="G22" s="36" t="n">
        <f>350</f>
        <v>350.0</v>
      </c>
      <c r="H22" s="21" t="n">
        <f>521</f>
        <v>521.0</v>
      </c>
      <c r="I22" s="36" t="n">
        <f>450</f>
        <v>450.0</v>
      </c>
      <c r="J22" s="21" t="n">
        <f>247585000</f>
        <v>2.47585E8</v>
      </c>
      <c r="K22" s="36" t="n">
        <f>246000000</f>
        <v>2.46E8</v>
      </c>
      <c r="L22" s="21" t="n">
        <f>109175000</f>
        <v>1.09175E8</v>
      </c>
      <c r="M22" s="36" t="n">
        <f>106475000</f>
        <v>1.06475E8</v>
      </c>
      <c r="N22" s="21" t="n">
        <f>356760000</f>
        <v>3.5676E8</v>
      </c>
      <c r="O22" s="36" t="n">
        <f>352475000</f>
        <v>3.52475E8</v>
      </c>
    </row>
    <row r="23" spans="1:15" ht="24.9" customHeight="1">
      <c r="A23" s="38"/>
      <c r="B23" s="62"/>
      <c r="C23" s="24" t="s">
        <v>18</v>
      </c>
      <c r="D23" s="25" t="n">
        <f>280</f>
        <v>280.0</v>
      </c>
      <c r="E23" s="37" t="n">
        <f>239</f>
        <v>239.0</v>
      </c>
      <c r="F23" s="25" t="n">
        <f>490</f>
        <v>490.0</v>
      </c>
      <c r="G23" s="37" t="n">
        <f>460</f>
        <v>460.0</v>
      </c>
      <c r="H23" s="25" t="n">
        <f>770</f>
        <v>770.0</v>
      </c>
      <c r="I23" s="37" t="n">
        <f>699</f>
        <v>699.0</v>
      </c>
      <c r="J23" s="25" t="n">
        <f>390223000</f>
        <v>3.90223E8</v>
      </c>
      <c r="K23" s="37" t="n">
        <f>388638000</f>
        <v>3.88638E8</v>
      </c>
      <c r="L23" s="25" t="n">
        <f>224675000</f>
        <v>2.24675E8</v>
      </c>
      <c r="M23" s="37" t="n">
        <f>221975000</f>
        <v>2.21975E8</v>
      </c>
      <c r="N23" s="25" t="n">
        <f>614898000</f>
        <v>6.14898E8</v>
      </c>
      <c r="O23" s="37" t="n">
        <f>610613000</f>
        <v>6.10613E8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0</f>
        <v>0.0</v>
      </c>
      <c r="E37" s="22" t="n">
        <f>0</f>
        <v>0.0</v>
      </c>
      <c r="F37" s="21" t="n">
        <f>0</f>
        <v>0.0</v>
      </c>
      <c r="G37" s="22" t="n">
        <f>0</f>
        <v>0.0</v>
      </c>
      <c r="H37" s="21" t="n">
        <f>0</f>
        <v>0.0</v>
      </c>
      <c r="I37" s="22" t="n">
        <f>0</f>
        <v>0.0</v>
      </c>
      <c r="J37" s="21" t="n">
        <f>0</f>
        <v>0.0</v>
      </c>
      <c r="K37" s="22" t="n">
        <f>0</f>
        <v>0.0</v>
      </c>
      <c r="L37" s="21" t="n">
        <f>0</f>
        <v>0.0</v>
      </c>
      <c r="M37" s="22" t="n">
        <f>0</f>
        <v>0.0</v>
      </c>
      <c r="N37" s="21" t="n">
        <f>0</f>
        <v>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10</f>
        <v>10.0</v>
      </c>
      <c r="E38" s="36" t="n">
        <f>0</f>
        <v>0.0</v>
      </c>
      <c r="F38" s="21" t="n">
        <f>10</f>
        <v>10.0</v>
      </c>
      <c r="G38" s="36" t="n">
        <f>0</f>
        <v>0.0</v>
      </c>
      <c r="H38" s="21" t="n">
        <f>20</f>
        <v>20.0</v>
      </c>
      <c r="I38" s="36" t="n">
        <f>0</f>
        <v>0.0</v>
      </c>
      <c r="J38" s="21" t="n">
        <f>1600000</f>
        <v>1600000.0</v>
      </c>
      <c r="K38" s="36" t="n">
        <f>0</f>
        <v>0.0</v>
      </c>
      <c r="L38" s="21" t="n">
        <f>1500000</f>
        <v>1500000.0</v>
      </c>
      <c r="M38" s="36" t="n">
        <f>0</f>
        <v>0.0</v>
      </c>
      <c r="N38" s="21" t="n">
        <f>3100000</f>
        <v>3100000.0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10</f>
        <v>10.0</v>
      </c>
      <c r="E39" s="37" t="n">
        <f>0</f>
        <v>0.0</v>
      </c>
      <c r="F39" s="25" t="n">
        <f>10</f>
        <v>10.0</v>
      </c>
      <c r="G39" s="37" t="n">
        <f>0</f>
        <v>0.0</v>
      </c>
      <c r="H39" s="25" t="n">
        <f>20</f>
        <v>20.0</v>
      </c>
      <c r="I39" s="37" t="n">
        <f>0</f>
        <v>0.0</v>
      </c>
      <c r="J39" s="25" t="n">
        <f>1600000</f>
        <v>1600000.0</v>
      </c>
      <c r="K39" s="37" t="n">
        <f>0</f>
        <v>0.0</v>
      </c>
      <c r="L39" s="25" t="n">
        <f>1500000</f>
        <v>1500000.0</v>
      </c>
      <c r="M39" s="37" t="n">
        <f>0</f>
        <v>0.0</v>
      </c>
      <c r="N39" s="25" t="n">
        <f>3100000</f>
        <v>3100000.0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91</f>
        <v>91.0</v>
      </c>
      <c r="E41" s="36" t="n">
        <f>0</f>
        <v>0.0</v>
      </c>
      <c r="F41" s="21" t="n">
        <f>63</f>
        <v>63.0</v>
      </c>
      <c r="G41" s="36" t="n">
        <f>0</f>
        <v>0.0</v>
      </c>
      <c r="H41" s="21" t="n">
        <f>154</f>
        <v>154.0</v>
      </c>
      <c r="I41" s="36" t="n">
        <f>0</f>
        <v>0.0</v>
      </c>
      <c r="J41" s="21" t="n">
        <f>1195430</f>
        <v>1195430.0</v>
      </c>
      <c r="K41" s="36" t="n">
        <f>0</f>
        <v>0.0</v>
      </c>
      <c r="L41" s="21" t="n">
        <f>1574100</f>
        <v>1574100.0</v>
      </c>
      <c r="M41" s="36" t="n">
        <f>0</f>
        <v>0.0</v>
      </c>
      <c r="N41" s="21" t="n">
        <f>2769530</f>
        <v>2769530.0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2120</f>
        <v>2120.0</v>
      </c>
      <c r="E42" s="36" t="n">
        <f>800</f>
        <v>800.0</v>
      </c>
      <c r="F42" s="21" t="n">
        <f>1686</f>
        <v>1686.0</v>
      </c>
      <c r="G42" s="36" t="n">
        <f>0</f>
        <v>0.0</v>
      </c>
      <c r="H42" s="21" t="n">
        <f>3806</f>
        <v>3806.0</v>
      </c>
      <c r="I42" s="36" t="n">
        <f>800</f>
        <v>800.0</v>
      </c>
      <c r="J42" s="21" t="n">
        <f>48119740</f>
        <v>4.811974E7</v>
      </c>
      <c r="K42" s="36" t="n">
        <f>32800000</f>
        <v>3.28E7</v>
      </c>
      <c r="L42" s="21" t="n">
        <f>18059680</f>
        <v>1.805968E7</v>
      </c>
      <c r="M42" s="36" t="n">
        <f>0</f>
        <v>0.0</v>
      </c>
      <c r="N42" s="21" t="n">
        <f>66179420</f>
        <v>6.617942E7</v>
      </c>
      <c r="O42" s="36" t="n">
        <f>32800000</f>
        <v>3.28E7</v>
      </c>
    </row>
    <row r="43" spans="1:15" ht="24.9" customHeight="1">
      <c r="A43" s="38"/>
      <c r="B43" s="62"/>
      <c r="C43" s="24" t="s">
        <v>18</v>
      </c>
      <c r="D43" s="25" t="n">
        <f>2211</f>
        <v>2211.0</v>
      </c>
      <c r="E43" s="37" t="n">
        <f>800</f>
        <v>800.0</v>
      </c>
      <c r="F43" s="25" t="n">
        <f>1749</f>
        <v>1749.0</v>
      </c>
      <c r="G43" s="37" t="n">
        <f>0</f>
        <v>0.0</v>
      </c>
      <c r="H43" s="25" t="n">
        <f>3960</f>
        <v>3960.0</v>
      </c>
      <c r="I43" s="37" t="n">
        <f>800</f>
        <v>800.0</v>
      </c>
      <c r="J43" s="25" t="n">
        <f>49315170</f>
        <v>4.931517E7</v>
      </c>
      <c r="K43" s="37" t="n">
        <f>32800000</f>
        <v>3.28E7</v>
      </c>
      <c r="L43" s="25" t="n">
        <f>19633780</f>
        <v>1.963378E7</v>
      </c>
      <c r="M43" s="37" t="n">
        <f>0</f>
        <v>0.0</v>
      </c>
      <c r="N43" s="25" t="n">
        <f>68948950</f>
        <v>6.894895E7</v>
      </c>
      <c r="O43" s="37" t="n">
        <f>32800000</f>
        <v>3.28E7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