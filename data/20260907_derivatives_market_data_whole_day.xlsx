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<sst xmlns="http://schemas.openxmlformats.org/spreadsheetml/2006/main" count="528" uniqueCount="129">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</sst>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DATE(2026,09,07)</f>
        <v>46272.0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DATE(2026,09,07)</f>
        <v>46272.0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871139.0</f>
        <v>871139.0</v>
      </c>
      <c r="E12" s="18" t="n">
        <f>49089.0</f>
        <v>49089.0</v>
      </c>
      <c r="F12" s="19" t="n">
        <f>1.0</f>
        <v>1.0</v>
      </c>
      <c r="G12" s="17" t="n">
        <f>10385383790205.0</f>
        <v>1.0385383790205E13</v>
      </c>
      <c r="H12" s="18" t="n">
        <f>667904238780.0</f>
        <v>6.6790423878E11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513145.0</f>
        <v>513145.0</v>
      </c>
      <c r="E13" s="22" t="n">
        <f>76287.0</f>
        <v>76287.0</v>
      </c>
      <c r="F13" s="23" t="n">
        <f>1.0</f>
        <v>1.0</v>
      </c>
      <c r="G13" s="21" t="n">
        <f>9930512130535.0</f>
        <v>9.930512130535E12</v>
      </c>
      <c r="H13" s="22" t="n">
        <f>3124822304560.0</f>
        <v>3.12482230456E12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805593.0</f>
        <v>805593.0</v>
      </c>
      <c r="E14" s="22" t="n">
        <f>287865.0</f>
        <v>287865.0</v>
      </c>
      <c r="F14" s="23" t="n">
        <f>1.0</f>
        <v>1.0</v>
      </c>
      <c r="G14" s="21" t="n">
        <f>19842901000657.0</f>
        <v>1.9842901000657E13</v>
      </c>
      <c r="H14" s="22" t="n">
        <f>10929055765557.0</f>
        <v>1.0929055765557E13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2189877.0</f>
        <v>2189877.0</v>
      </c>
      <c r="E15" s="26" t="n">
        <f>413241.0</f>
        <v>413241.0</v>
      </c>
      <c r="F15" s="27" t="n">
        <f>1.0</f>
        <v>1.0</v>
      </c>
      <c r="G15" s="25" t="n">
        <f>40158796921397.0</f>
        <v>4.0158796921397E13</v>
      </c>
      <c r="H15" s="26" t="n">
        <f>14721782308897.0</f>
        <v>1.4721782308897E13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44213.0</f>
        <v>44213.0</v>
      </c>
      <c r="E16" s="18" t="n">
        <f>2510.0</f>
        <v>2510.0</v>
      </c>
      <c r="F16" s="19" t="n">
        <f>0.051</f>
        <v>0.051</v>
      </c>
      <c r="G16" s="17" t="n">
        <f>5295462484375.0</f>
        <v>5.295462484375E12</v>
      </c>
      <c r="H16" s="18" t="n">
        <f>58953355000.0</f>
        <v>5.8953355E10</v>
      </c>
      <c r="I16" s="19" t="n">
        <f>0.51</f>
        <v>0.51</v>
      </c>
    </row>
    <row r="17" spans="1:9" ht="24.9" customHeight="1">
      <c r="A17" s="41"/>
      <c r="B17" s="39"/>
      <c r="C17" s="20" t="s">
        <v>16</v>
      </c>
      <c r="D17" s="21" t="n">
        <f>39068.0</f>
        <v>39068.0</v>
      </c>
      <c r="E17" s="22" t="n">
        <f>21290.0</f>
        <v>21290.0</v>
      </c>
      <c r="F17" s="23" t="n">
        <f>0.076</f>
        <v>0.076</v>
      </c>
      <c r="G17" s="21" t="n">
        <f>3379296519375.0</f>
        <v>3.379296519375E12</v>
      </c>
      <c r="H17" s="22" t="n">
        <f>1394661777500.0</f>
        <v>1.3946617775E12</v>
      </c>
      <c r="I17" s="23" t="n">
        <f>0.34</f>
        <v>0.34</v>
      </c>
    </row>
    <row r="18" spans="1:9" ht="24.9" customHeight="1">
      <c r="A18" s="41"/>
      <c r="B18" s="39"/>
      <c r="C18" s="20" t="s">
        <v>17</v>
      </c>
      <c r="D18" s="21" t="n">
        <f>86588.0</f>
        <v>86588.0</v>
      </c>
      <c r="E18" s="22" t="n">
        <f>60972.0</f>
        <v>60972.0</v>
      </c>
      <c r="F18" s="23" t="n">
        <f>0.107</f>
        <v>0.107</v>
      </c>
      <c r="G18" s="21" t="n">
        <f>6789785927050.0</f>
        <v>6.78978592705E12</v>
      </c>
      <c r="H18" s="22" t="n">
        <f>4145461315800.0</f>
        <v>4.1454613158E12</v>
      </c>
      <c r="I18" s="23" t="n">
        <f>0.342</f>
        <v>0.342</v>
      </c>
    </row>
    <row r="19" spans="1:9" ht="24.9" customHeight="1">
      <c r="A19" s="41"/>
      <c r="B19" s="39"/>
      <c r="C19" s="24" t="s">
        <v>18</v>
      </c>
      <c r="D19" s="25" t="n">
        <f>169869.0</f>
        <v>169869.0</v>
      </c>
      <c r="E19" s="26" t="n">
        <f>84772.0</f>
        <v>84772.0</v>
      </c>
      <c r="F19" s="27" t="n">
        <f>0.078</f>
        <v>0.078</v>
      </c>
      <c r="G19" s="25" t="n">
        <f>15464544930800.0</f>
        <v>1.54645449308E13</v>
      </c>
      <c r="H19" s="26" t="n">
        <f>5599076448300.0</f>
        <v>5.5990764483E12</v>
      </c>
      <c r="I19" s="27" t="n">
        <f>0.385</f>
        <v>0.385</v>
      </c>
    </row>
    <row r="20" spans="1:9" ht="24.9" customHeight="1">
      <c r="A20" s="41"/>
      <c r="B20" s="39" t="s">
        <v>21</v>
      </c>
      <c r="C20" s="16" t="s">
        <v>15</v>
      </c>
      <c r="D20" s="17" t="n">
        <f>808346.0</f>
        <v>808346.0</v>
      </c>
      <c r="E20" s="18" t="n">
        <f>46509.0</f>
        <v>46509.0</v>
      </c>
      <c r="F20" s="19" t="n">
        <f>0.928</f>
        <v>0.928</v>
      </c>
      <c r="G20" s="17" t="n">
        <f>4890608999130.0</f>
        <v>4.89060899913E12</v>
      </c>
      <c r="H20" s="18" t="n">
        <f>608709407780.0</f>
        <v>6.0870940778E11</v>
      </c>
      <c r="I20" s="19" t="n">
        <f>0.471</f>
        <v>0.471</v>
      </c>
    </row>
    <row r="21" spans="1:9" ht="24.9" customHeight="1">
      <c r="A21" s="41"/>
      <c r="B21" s="39"/>
      <c r="C21" s="20" t="s">
        <v>16</v>
      </c>
      <c r="D21" s="21" t="n">
        <f>465892.0</f>
        <v>465892.0</v>
      </c>
      <c r="E21" s="22" t="n">
        <f>54987.0</f>
        <v>54987.0</v>
      </c>
      <c r="F21" s="23" t="n">
        <f>0.908</f>
        <v>0.908</v>
      </c>
      <c r="G21" s="21" t="n">
        <f>6470230044660.0</f>
        <v>6.47023004466E12</v>
      </c>
      <c r="H21" s="22" t="n">
        <f>1730033507060.0</f>
        <v>1.73003350706E12</v>
      </c>
      <c r="I21" s="23" t="n">
        <f>0.652</f>
        <v>0.652</v>
      </c>
    </row>
    <row r="22" spans="1:9" ht="24.9" customHeight="1">
      <c r="A22" s="41"/>
      <c r="B22" s="39"/>
      <c r="C22" s="20" t="s">
        <v>17</v>
      </c>
      <c r="D22" s="21" t="n">
        <f>707674.0</f>
        <v>707674.0</v>
      </c>
      <c r="E22" s="22" t="n">
        <f>226893.0</f>
        <v>226893.0</v>
      </c>
      <c r="F22" s="23" t="n">
        <f>0.878</f>
        <v>0.878</v>
      </c>
      <c r="G22" s="21" t="n">
        <f>12937076326857.0</f>
        <v>1.2937076326857E13</v>
      </c>
      <c r="H22" s="22" t="n">
        <f>6783594449757.0</f>
        <v>6.783594449757E12</v>
      </c>
      <c r="I22" s="23" t="n">
        <f>0.652</f>
        <v>0.652</v>
      </c>
    </row>
    <row r="23" spans="1:9" ht="24.9" customHeight="1">
      <c r="A23" s="41"/>
      <c r="B23" s="39"/>
      <c r="C23" s="24" t="s">
        <v>18</v>
      </c>
      <c r="D23" s="25" t="n">
        <f>1981912.0</f>
        <v>1981912.0</v>
      </c>
      <c r="E23" s="26" t="n">
        <f>328389.0</f>
        <v>328389.0</v>
      </c>
      <c r="F23" s="27" t="n">
        <f>0.905</f>
        <v>0.905</v>
      </c>
      <c r="G23" s="25" t="n">
        <f>24297915370647.0</f>
        <v>2.4297915370647E13</v>
      </c>
      <c r="H23" s="26" t="n">
        <f>9122337364597.0</f>
        <v>9.122337364597E12</v>
      </c>
      <c r="I23" s="27" t="n">
        <f>0.605</f>
        <v>0.605</v>
      </c>
    </row>
    <row r="24" spans="1:9" ht="24.9" customHeight="1">
      <c r="A24" s="41"/>
      <c r="B24" s="39" t="s">
        <v>22</v>
      </c>
      <c r="C24" s="16" t="s">
        <v>15</v>
      </c>
      <c r="D24" s="17" t="n">
        <f>18152.0</f>
        <v>18152.0</v>
      </c>
      <c r="E24" s="18" t="n">
        <f>0.0</f>
        <v>0.0</v>
      </c>
      <c r="F24" s="19" t="n">
        <f>0.021</f>
        <v>0.021</v>
      </c>
      <c r="G24" s="17" t="n">
        <f>197684048200.0</f>
        <v>1.976840482E11</v>
      </c>
      <c r="H24" s="18" t="n">
        <f>0.0</f>
        <v>0.0</v>
      </c>
      <c r="I24" s="19" t="n">
        <f>0.019</f>
        <v>0.019</v>
      </c>
    </row>
    <row r="25" spans="1:9" ht="24.9" customHeight="1">
      <c r="A25" s="41"/>
      <c r="B25" s="39"/>
      <c r="C25" s="20" t="s">
        <v>16</v>
      </c>
      <c r="D25" s="21" t="n">
        <f>7643.0</f>
        <v>7643.0</v>
      </c>
      <c r="E25" s="22" t="n">
        <f>0.0</f>
        <v>0.0</v>
      </c>
      <c r="F25" s="23" t="n">
        <f>0.015</f>
        <v>0.015</v>
      </c>
      <c r="G25" s="21" t="n">
        <f>78801689000.0</f>
        <v>7.8801689E10</v>
      </c>
      <c r="H25" s="22" t="n">
        <f>0.0</f>
        <v>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7755.0</f>
        <v>7755.0</v>
      </c>
      <c r="E26" s="22" t="n">
        <f>0.0</f>
        <v>0.0</v>
      </c>
      <c r="F26" s="23" t="n">
        <f>0.01</f>
        <v>0.01</v>
      </c>
      <c r="G26" s="21" t="n">
        <f>102053122250.0</f>
        <v>1.0205312225E11</v>
      </c>
      <c r="H26" s="22" t="n">
        <f>0.0</f>
        <v>0.0</v>
      </c>
      <c r="I26" s="23" t="n">
        <f>0.005</f>
        <v>0.005</v>
      </c>
    </row>
    <row r="27" spans="1:9" ht="24.9" customHeight="1">
      <c r="A27" s="42"/>
      <c r="B27" s="39"/>
      <c r="C27" s="24" t="s">
        <v>18</v>
      </c>
      <c r="D27" s="25" t="n">
        <f>33550.0</f>
        <v>33550.0</v>
      </c>
      <c r="E27" s="26" t="n">
        <f>0.0</f>
        <v>0.0</v>
      </c>
      <c r="F27" s="27" t="n">
        <f>0.015</f>
        <v>0.015</v>
      </c>
      <c r="G27" s="25" t="n">
        <f>378538859450.0</f>
        <v>3.7853885945E11</v>
      </c>
      <c r="H27" s="26" t="n">
        <f>0.0</f>
        <v>0.0</v>
      </c>
      <c r="I27" s="27" t="n">
        <f>0.009</f>
        <v>0.009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428.0</f>
        <v>428.0</v>
      </c>
      <c r="E28" s="18" t="n">
        <f>70.0</f>
        <v>70.0</v>
      </c>
      <c r="F28" s="19" t="n">
        <f>0.0</f>
        <v>0.0</v>
      </c>
      <c r="G28" s="17" t="n">
        <f>1628258500.0</f>
        <v>1.6282585E9</v>
      </c>
      <c r="H28" s="18" t="n">
        <f>241476000.0</f>
        <v>2.41476E8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542.0</f>
        <v>542.0</v>
      </c>
      <c r="E29" s="22" t="n">
        <f>10.0</f>
        <v>10.0</v>
      </c>
      <c r="F29" s="23" t="n">
        <f>0.001</f>
        <v>0.001</v>
      </c>
      <c r="G29" s="21" t="n">
        <f>2183877500.0</f>
        <v>2.1838775E9</v>
      </c>
      <c r="H29" s="22" t="n">
        <f>127020000.0</f>
        <v>1.2702E8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3576.0</f>
        <v>3576.0</v>
      </c>
      <c r="E30" s="22" t="n">
        <f>0.0</f>
        <v>0.0</v>
      </c>
      <c r="F30" s="23" t="n">
        <f>0.004</f>
        <v>0.004</v>
      </c>
      <c r="G30" s="21" t="n">
        <f>13985624500.0</f>
        <v>1.39856245E10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4546.0</f>
        <v>4546.0</v>
      </c>
      <c r="E31" s="26" t="n">
        <f>80.0</f>
        <v>80.0</v>
      </c>
      <c r="F31" s="27" t="n">
        <f>0.002</f>
        <v>0.002</v>
      </c>
      <c r="G31" s="25" t="n">
        <f>17797760500.0</f>
        <v>1.77977605E10</v>
      </c>
      <c r="H31" s="26" t="n">
        <f>368496000.0</f>
        <v>3.68496E8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46272.0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46272.0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28722</f>
        <v>28722.0</v>
      </c>
      <c r="E11" s="18" t="n">
        <f>7480</f>
        <v>7480.0</v>
      </c>
      <c r="F11" s="19" t="n">
        <f>1</f>
        <v>1.0</v>
      </c>
      <c r="G11" s="17" t="n">
        <f>6678431770</f>
        <v>6.67843177E9</v>
      </c>
      <c r="H11" s="18" t="n">
        <f>5004775970</f>
        <v>5.00477597E9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42463</f>
        <v>42463.0</v>
      </c>
      <c r="E12" s="22" t="n">
        <f>8647</f>
        <v>8647.0</v>
      </c>
      <c r="F12" s="23" t="n">
        <f>1</f>
        <v>1.0</v>
      </c>
      <c r="G12" s="21" t="n">
        <f>4704694184</f>
        <v>4.704694184E9</v>
      </c>
      <c r="H12" s="22" t="n">
        <f>2764363210</f>
        <v>2.76436321E9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48291</f>
        <v>48291.0</v>
      </c>
      <c r="E13" s="22" t="n">
        <f>18873</f>
        <v>18873.0</v>
      </c>
      <c r="F13" s="23" t="n">
        <f>1</f>
        <v>1.0</v>
      </c>
      <c r="G13" s="21" t="n">
        <f>18159684508</f>
        <v>1.8159684508E10</v>
      </c>
      <c r="H13" s="22" t="n">
        <f>14945780252</f>
        <v>1.4945780252E10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119476</f>
        <v>119476.0</v>
      </c>
      <c r="E14" s="26" t="n">
        <f>35000</f>
        <v>35000.0</v>
      </c>
      <c r="F14" s="27" t="n">
        <f>1</f>
        <v>1.0</v>
      </c>
      <c r="G14" s="25" t="n">
        <f>29542810462</f>
        <v>2.9542810462E10</v>
      </c>
      <c r="H14" s="26" t="n">
        <f>22714919432</f>
        <v>2.2714919432E10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</f>
        <v>5.0</v>
      </c>
      <c r="E15" s="18" t="n">
        <f>0</f>
        <v>0.0</v>
      </c>
      <c r="F15" s="19" t="n">
        <f>0</f>
        <v>0.0</v>
      </c>
      <c r="G15" s="17" t="n">
        <f>1550000</f>
        <v>1550000.0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13</f>
        <v>13.0</v>
      </c>
      <c r="E17" s="22" t="n">
        <f>0</f>
        <v>0.0</v>
      </c>
      <c r="F17" s="23" t="n">
        <f>0</f>
        <v>0.0</v>
      </c>
      <c r="G17" s="21" t="n">
        <f>6590000</f>
        <v>6590000.0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18</f>
        <v>18.0</v>
      </c>
      <c r="E18" s="26" t="n">
        <f>0</f>
        <v>0.0</v>
      </c>
      <c r="F18" s="27" t="n">
        <f>0</f>
        <v>0.0</v>
      </c>
      <c r="G18" s="25" t="n">
        <f>8140000</f>
        <v>8140000.0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28717</f>
        <v>28717.0</v>
      </c>
      <c r="E19" s="18" t="n">
        <f>7480</f>
        <v>7480.0</v>
      </c>
      <c r="F19" s="19" t="n">
        <f>1</f>
        <v>1.0</v>
      </c>
      <c r="G19" s="17" t="n">
        <f>6676881770</f>
        <v>6.67688177E9</v>
      </c>
      <c r="H19" s="18" t="n">
        <f>5004775970</f>
        <v>5.00477597E9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28522</f>
        <v>28522.0</v>
      </c>
      <c r="E20" s="22" t="n">
        <f>8647</f>
        <v>8647.0</v>
      </c>
      <c r="F20" s="23" t="n">
        <f>0.672</f>
        <v>0.672</v>
      </c>
      <c r="G20" s="21" t="n">
        <f>4685438810</f>
        <v>4.68543881E9</v>
      </c>
      <c r="H20" s="22" t="n">
        <f>2764363210</f>
        <v>2.76436321E9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40388</f>
        <v>40388.0</v>
      </c>
      <c r="E21" s="22" t="n">
        <f>18873</f>
        <v>18873.0</v>
      </c>
      <c r="F21" s="23" t="n">
        <f>0.836</f>
        <v>0.836</v>
      </c>
      <c r="G21" s="21" t="n">
        <f>18125827052</f>
        <v>1.8125827052E10</v>
      </c>
      <c r="H21" s="22" t="n">
        <f>14945780252</f>
        <v>1.4945780252E10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97627</f>
        <v>97627.0</v>
      </c>
      <c r="E22" s="26" t="n">
        <f>35000</f>
        <v>35000.0</v>
      </c>
      <c r="F22" s="27" t="n">
        <f>0.817</f>
        <v>0.817</v>
      </c>
      <c r="G22" s="25" t="n">
        <f>29488147632</f>
        <v>2.9488147632E10</v>
      </c>
      <c r="H22" s="26" t="n">
        <f>22714919432</f>
        <v>2.2714919432E10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13941</f>
        <v>13941.0</v>
      </c>
      <c r="E24" s="22" t="n">
        <f>0</f>
        <v>0.0</v>
      </c>
      <c r="F24" s="23" t="n">
        <f>0.328</f>
        <v>0.328</v>
      </c>
      <c r="G24" s="21" t="n">
        <f>19255374</f>
        <v>1.9255374E7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7890</f>
        <v>7890.0</v>
      </c>
      <c r="E25" s="22" t="n">
        <f>0</f>
        <v>0.0</v>
      </c>
      <c r="F25" s="23" t="n">
        <f>0.163</f>
        <v>0.163</v>
      </c>
      <c r="G25" s="21" t="n">
        <f>27267456</f>
        <v>2.7267456E7</v>
      </c>
      <c r="H25" s="22" t="n">
        <f>0</f>
        <v>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21831</f>
        <v>21831.0</v>
      </c>
      <c r="E26" s="26" t="n">
        <f>0</f>
        <v>0.0</v>
      </c>
      <c r="F26" s="27" t="n">
        <f>0.183</f>
        <v>0.183</v>
      </c>
      <c r="G26" s="25" t="n">
        <f>46522830</f>
        <v>4.652283E7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46272.0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46272.0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16127.0</v>
      </c>
      <c r="F12" s="18" t="n">
        <f>5197</f>
        <v>5197.0</v>
      </c>
      <c r="G12" s="17" t="n">
        <v>1.0523681395E12</v>
      </c>
      <c r="H12" s="18" t="n">
        <f>338699230500</f>
        <v>3.386992305E11</v>
      </c>
    </row>
    <row r="13" spans="1:8" ht="24.9" customHeight="1">
      <c r="A13" s="51"/>
      <c r="B13" s="57"/>
      <c r="C13" s="39"/>
      <c r="D13" s="20" t="s">
        <v>16</v>
      </c>
      <c r="E13" s="21" t="n">
        <v>25574.0</v>
      </c>
      <c r="F13" s="22" t="n">
        <f>11002</f>
        <v>11002.0</v>
      </c>
      <c r="G13" s="21" t="n">
        <v>1.6950147465E12</v>
      </c>
      <c r="H13" s="22" t="n">
        <f>730398377500</f>
        <v>7.303983775E11</v>
      </c>
    </row>
    <row r="14" spans="1:8" ht="24.9" customHeight="1">
      <c r="A14" s="51"/>
      <c r="B14" s="57"/>
      <c r="C14" s="39"/>
      <c r="D14" s="20" t="s">
        <v>17</v>
      </c>
      <c r="E14" s="21" t="n">
        <v>50694.0</v>
      </c>
      <c r="F14" s="22" t="n">
        <f>19376</f>
        <v>19376.0</v>
      </c>
      <c r="G14" s="21" t="n">
        <v>3.360113113401E12</v>
      </c>
      <c r="H14" s="22" t="n">
        <f>1284688573401</f>
        <v>1.284688573401E12</v>
      </c>
    </row>
    <row r="15" spans="1:8" ht="24.9" customHeight="1">
      <c r="A15" s="51"/>
      <c r="B15" s="57"/>
      <c r="C15" s="39"/>
      <c r="D15" s="24" t="s">
        <v>18</v>
      </c>
      <c r="E15" s="25" t="n">
        <v>92395.0</v>
      </c>
      <c r="F15" s="26" t="n">
        <f>35575</f>
        <v>35575.0</v>
      </c>
      <c r="G15" s="25" t="n">
        <v>6.107495999401E12</v>
      </c>
      <c r="H15" s="26" t="n">
        <f>2353786181401</f>
        <v>2.353786181401E12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321554.0</v>
      </c>
      <c r="F16" s="18" t="n">
        <f>40693</f>
        <v>40693.0</v>
      </c>
      <c r="G16" s="17" t="n">
        <v>2.09980569352E12</v>
      </c>
      <c r="H16" s="18" t="n">
        <f>265802480820</f>
        <v>2.6580248082E11</v>
      </c>
    </row>
    <row r="17" spans="1:8" ht="24.9" customHeight="1">
      <c r="A17" s="51"/>
      <c r="B17" s="57"/>
      <c r="C17" s="39"/>
      <c r="D17" s="20" t="s">
        <v>16</v>
      </c>
      <c r="E17" s="21" t="n">
        <v>151580.0</v>
      </c>
      <c r="F17" s="22" t="n">
        <f>13820</f>
        <v>13820.0</v>
      </c>
      <c r="G17" s="21" t="n">
        <v>1.00402917111E12</v>
      </c>
      <c r="H17" s="22" t="n">
        <f>91501654310</f>
        <v>9.150165431E10</v>
      </c>
    </row>
    <row r="18" spans="1:8" ht="24.9" customHeight="1">
      <c r="A18" s="51"/>
      <c r="B18" s="57"/>
      <c r="C18" s="39"/>
      <c r="D18" s="20" t="s">
        <v>17</v>
      </c>
      <c r="E18" s="21" t="n">
        <v>192751.0</v>
      </c>
      <c r="F18" s="22" t="n">
        <f>19718</f>
        <v>19718.0</v>
      </c>
      <c r="G18" s="21" t="n">
        <v>1.277558903781E12</v>
      </c>
      <c r="H18" s="22" t="n">
        <f>130677436681</f>
        <v>1.30677436681E11</v>
      </c>
    </row>
    <row r="19" spans="1:8" ht="24.9" customHeight="1">
      <c r="A19" s="51"/>
      <c r="B19" s="57"/>
      <c r="C19" s="39"/>
      <c r="D19" s="24" t="s">
        <v>18</v>
      </c>
      <c r="E19" s="25" t="n">
        <v>665885.0</v>
      </c>
      <c r="F19" s="26" t="n">
        <f>74231</f>
        <v>74231.0</v>
      </c>
      <c r="G19" s="25" t="n">
        <v>4.381393768411E12</v>
      </c>
      <c r="H19" s="26" t="n">
        <f>487981571811</f>
        <v>4.87981571811E11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426081.0</v>
      </c>
      <c r="F20" s="18" t="str">
        <f>"－"</f>
        <v>－</v>
      </c>
      <c r="G20" s="17" t="n">
        <v>2.782710641E11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176637.0</v>
      </c>
      <c r="F21" s="22" t="str">
        <f>"－"</f>
        <v>－</v>
      </c>
      <c r="G21" s="21" t="n">
        <v>1.1696315955E11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186370.0</v>
      </c>
      <c r="F22" s="22" t="str">
        <f>"－"</f>
        <v>－</v>
      </c>
      <c r="G22" s="21" t="n">
        <v>1.235233053E11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789088.0</v>
      </c>
      <c r="F23" s="26" t="str">
        <f>"－"</f>
        <v>－</v>
      </c>
      <c r="G23" s="25" t="n">
        <v>5.1875752895E11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34758.0</v>
      </c>
      <c r="F24" s="18" t="n">
        <f>47</f>
        <v>47.0</v>
      </c>
      <c r="G24" s="17" t="n">
        <v>1.4263281065E12</v>
      </c>
      <c r="H24" s="18" t="n">
        <f>1927297500</f>
        <v>1.9272975E9</v>
      </c>
    </row>
    <row r="25" spans="1:8" ht="24.9" customHeight="1">
      <c r="A25" s="51"/>
      <c r="B25" s="57"/>
      <c r="C25" s="39"/>
      <c r="D25" s="20" t="s">
        <v>16</v>
      </c>
      <c r="E25" s="21" t="n">
        <v>86567.0</v>
      </c>
      <c r="F25" s="22" t="n">
        <f>21453</f>
        <v>21453.0</v>
      </c>
      <c r="G25" s="21" t="n">
        <v>3.5715888681E12</v>
      </c>
      <c r="H25" s="22" t="n">
        <f>884652729100</f>
        <v>8.846527291E11</v>
      </c>
    </row>
    <row r="26" spans="1:8" ht="24.9" customHeight="1">
      <c r="A26" s="51"/>
      <c r="B26" s="57"/>
      <c r="C26" s="39"/>
      <c r="D26" s="20" t="s">
        <v>17</v>
      </c>
      <c r="E26" s="21" t="n">
        <v>192212.0</v>
      </c>
      <c r="F26" s="22" t="n">
        <f>125848</f>
        <v>125848.0</v>
      </c>
      <c r="G26" s="21" t="n">
        <v>7.912867585327E12</v>
      </c>
      <c r="H26" s="22" t="n">
        <f>5181609052327</f>
        <v>5.181609052327E12</v>
      </c>
    </row>
    <row r="27" spans="1:8" ht="24.9" customHeight="1">
      <c r="A27" s="51"/>
      <c r="B27" s="57"/>
      <c r="C27" s="39"/>
      <c r="D27" s="24" t="s">
        <v>18</v>
      </c>
      <c r="E27" s="25" t="n">
        <v>313537.0</v>
      </c>
      <c r="F27" s="26" t="n">
        <f>147348</f>
        <v>147348.0</v>
      </c>
      <c r="G27" s="25" t="n">
        <v>1.2910784559927E13</v>
      </c>
      <c r="H27" s="26" t="n">
        <f>6068189078927</f>
        <v>6.068189078927E12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6658.0</v>
      </c>
      <c r="F28" s="18" t="n">
        <f>529</f>
        <v>529.0</v>
      </c>
      <c r="G28" s="17" t="n">
        <v>2.73306215E10</v>
      </c>
      <c r="H28" s="18" t="n">
        <f>2172464450</f>
        <v>2.17246445E9</v>
      </c>
    </row>
    <row r="29" spans="1:8" ht="24.9" customHeight="1">
      <c r="A29" s="51"/>
      <c r="B29" s="57"/>
      <c r="C29" s="39"/>
      <c r="D29" s="20" t="s">
        <v>16</v>
      </c>
      <c r="E29" s="21" t="n">
        <v>12601.0</v>
      </c>
      <c r="F29" s="22" t="n">
        <f>1727</f>
        <v>1727.0</v>
      </c>
      <c r="G29" s="21" t="n">
        <v>5.2017307E10</v>
      </c>
      <c r="H29" s="22" t="n">
        <f>7127013050</f>
        <v>7.12701305E9</v>
      </c>
    </row>
    <row r="30" spans="1:8" ht="24.9" customHeight="1">
      <c r="A30" s="51"/>
      <c r="B30" s="57"/>
      <c r="C30" s="39"/>
      <c r="D30" s="20" t="s">
        <v>17</v>
      </c>
      <c r="E30" s="21" t="n">
        <v>23378.0</v>
      </c>
      <c r="F30" s="22" t="n">
        <f>10442</f>
        <v>10442.0</v>
      </c>
      <c r="G30" s="21" t="n">
        <v>9.6192639148E10</v>
      </c>
      <c r="H30" s="22" t="n">
        <f>42958276748</f>
        <v>4.2958276748E10</v>
      </c>
    </row>
    <row r="31" spans="1:8" ht="24.9" customHeight="1">
      <c r="A31" s="51"/>
      <c r="B31" s="57"/>
      <c r="C31" s="39"/>
      <c r="D31" s="24" t="s">
        <v>18</v>
      </c>
      <c r="E31" s="25" t="n">
        <v>42637.0</v>
      </c>
      <c r="F31" s="26" t="n">
        <f>12698</f>
        <v>12698.0</v>
      </c>
      <c r="G31" s="25" t="n">
        <v>1.75540567648E11</v>
      </c>
      <c r="H31" s="26" t="n">
        <f>52257754248</f>
        <v>5.2257754248E10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622.0</v>
      </c>
      <c r="F36" s="18" t="n">
        <f>1</f>
        <v>1.0</v>
      </c>
      <c r="G36" s="17" t="n">
        <v>2.2955885E9</v>
      </c>
      <c r="H36" s="18" t="n">
        <f>3701000</f>
        <v>3701000.0</v>
      </c>
    </row>
    <row r="37" spans="1:8" ht="24.9" customHeight="1">
      <c r="A37" s="51"/>
      <c r="B37" s="57"/>
      <c r="C37" s="39"/>
      <c r="D37" s="20" t="s">
        <v>16</v>
      </c>
      <c r="E37" s="21" t="n">
        <v>2733.0</v>
      </c>
      <c r="F37" s="22" t="n">
        <f>3</f>
        <v>3.0</v>
      </c>
      <c r="G37" s="21" t="n">
        <v>1.0131517E10</v>
      </c>
      <c r="H37" s="22" t="n">
        <f>11142000</f>
        <v>1.1142E7</v>
      </c>
    </row>
    <row r="38" spans="1:8" ht="24.9" customHeight="1">
      <c r="A38" s="51"/>
      <c r="B38" s="57"/>
      <c r="C38" s="39"/>
      <c r="D38" s="20" t="s">
        <v>17</v>
      </c>
      <c r="E38" s="21" t="n">
        <v>3645.0</v>
      </c>
      <c r="F38" s="22" t="n">
        <f>1</f>
        <v>1.0</v>
      </c>
      <c r="G38" s="21" t="n">
        <v>1.34727698E10</v>
      </c>
      <c r="H38" s="22" t="n">
        <f>3700500</f>
        <v>3700500.0</v>
      </c>
    </row>
    <row r="39" spans="1:8" ht="24.9" customHeight="1">
      <c r="A39" s="51"/>
      <c r="B39" s="57"/>
      <c r="C39" s="39"/>
      <c r="D39" s="24" t="s">
        <v>18</v>
      </c>
      <c r="E39" s="25" t="n">
        <v>7000.0</v>
      </c>
      <c r="F39" s="26" t="n">
        <f>5</f>
        <v>5.0</v>
      </c>
      <c r="G39" s="25" t="n">
        <v>2.58998753E10</v>
      </c>
      <c r="H39" s="26" t="n">
        <f>18543500</f>
        <v>1.85435E7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675.0</v>
      </c>
      <c r="F45" s="22" t="n">
        <f>675</f>
        <v>675.0</v>
      </c>
      <c r="G45" s="21" t="n">
        <v>5.2435215E9</v>
      </c>
      <c r="H45" s="22" t="n">
        <f>5243521500</f>
        <v>5.2435215E9</v>
      </c>
    </row>
    <row r="46" spans="1:8" ht="24.9" customHeight="1">
      <c r="A46" s="51"/>
      <c r="B46" s="57"/>
      <c r="C46" s="39"/>
      <c r="D46" s="20" t="s">
        <v>17</v>
      </c>
      <c r="E46" s="21" t="n">
        <v>9382.0</v>
      </c>
      <c r="F46" s="22" t="n">
        <f>9382</f>
        <v>9382.0</v>
      </c>
      <c r="G46" s="21" t="n">
        <v>7.2888912E10</v>
      </c>
      <c r="H46" s="22" t="n">
        <f>72888912000</f>
        <v>7.2888912E10</v>
      </c>
    </row>
    <row r="47" spans="1:8" ht="24.9" customHeight="1">
      <c r="A47" s="51"/>
      <c r="B47" s="57"/>
      <c r="C47" s="39"/>
      <c r="D47" s="24" t="s">
        <v>18</v>
      </c>
      <c r="E47" s="25" t="n">
        <v>10057.0</v>
      </c>
      <c r="F47" s="26" t="n">
        <f>10057</f>
        <v>10057.0</v>
      </c>
      <c r="G47" s="25" t="n">
        <v>7.81324335E10</v>
      </c>
      <c r="H47" s="26" t="n">
        <f>78132433500</f>
        <v>7.81324335E10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7.0</v>
      </c>
      <c r="F48" s="18" t="n">
        <f>7</f>
        <v>7.0</v>
      </c>
      <c r="G48" s="17" t="n">
        <v>1.2445E7</v>
      </c>
      <c r="H48" s="18" t="n">
        <f>12445000</f>
        <v>1.2445E7</v>
      </c>
    </row>
    <row r="49" spans="1:8" ht="24.9" customHeight="1">
      <c r="A49" s="51"/>
      <c r="B49" s="57"/>
      <c r="C49" s="39"/>
      <c r="D49" s="20" t="s">
        <v>16</v>
      </c>
      <c r="E49" s="21" t="n">
        <v>7577.0</v>
      </c>
      <c r="F49" s="22" t="n">
        <f>6272</f>
        <v>6272.0</v>
      </c>
      <c r="G49" s="21" t="n">
        <v>1.33445364E10</v>
      </c>
      <c r="H49" s="22" t="n">
        <f>11044063900</f>
        <v>1.10440639E10</v>
      </c>
    </row>
    <row r="50" spans="1:8" ht="24.9" customHeight="1">
      <c r="A50" s="51"/>
      <c r="B50" s="57"/>
      <c r="C50" s="39"/>
      <c r="D50" s="20" t="s">
        <v>17</v>
      </c>
      <c r="E50" s="21" t="n">
        <v>42690.0</v>
      </c>
      <c r="F50" s="22" t="n">
        <f>38609</f>
        <v>38609.0</v>
      </c>
      <c r="G50" s="21" t="n">
        <v>7.51529165E10</v>
      </c>
      <c r="H50" s="22" t="n">
        <f>67966837400</f>
        <v>6.79668374E10</v>
      </c>
    </row>
    <row r="51" spans="1:8" ht="24.9" customHeight="1">
      <c r="A51" s="51"/>
      <c r="B51" s="57"/>
      <c r="C51" s="39"/>
      <c r="D51" s="24" t="s">
        <v>18</v>
      </c>
      <c r="E51" s="25" t="n">
        <v>50274.0</v>
      </c>
      <c r="F51" s="26" t="n">
        <f>44888</f>
        <v>44888.0</v>
      </c>
      <c r="G51" s="25" t="n">
        <v>8.85098979E10</v>
      </c>
      <c r="H51" s="26" t="n">
        <f>79023346300</f>
        <v>7.90233463E10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1114.0</v>
      </c>
      <c r="F56" s="18" t="n">
        <f>21</f>
        <v>21.0</v>
      </c>
      <c r="G56" s="17" t="n">
        <v>8.855372E8</v>
      </c>
      <c r="H56" s="18" t="n">
        <f>16647200</f>
        <v>1.66472E7</v>
      </c>
    </row>
    <row r="57" spans="1:8" ht="24.9" customHeight="1">
      <c r="A57" s="51"/>
      <c r="B57" s="57"/>
      <c r="C57" s="39"/>
      <c r="D57" s="20" t="s">
        <v>16</v>
      </c>
      <c r="E57" s="21" t="n">
        <v>1807.0</v>
      </c>
      <c r="F57" s="22" t="n">
        <f>29</f>
        <v>29.0</v>
      </c>
      <c r="G57" s="21" t="n">
        <v>1.4257338E9</v>
      </c>
      <c r="H57" s="22" t="n">
        <f>23014800</f>
        <v>2.30148E7</v>
      </c>
    </row>
    <row r="58" spans="1:8" ht="24.9" customHeight="1">
      <c r="A58" s="51"/>
      <c r="B58" s="57"/>
      <c r="C58" s="39"/>
      <c r="D58" s="20" t="s">
        <v>17</v>
      </c>
      <c r="E58" s="21" t="n">
        <v>6487.0</v>
      </c>
      <c r="F58" s="22" t="n">
        <f>3514</f>
        <v>3514.0</v>
      </c>
      <c r="G58" s="21" t="n">
        <v>5.1073871E9</v>
      </c>
      <c r="H58" s="22" t="n">
        <f>2785680100</f>
        <v>2.7856801E9</v>
      </c>
    </row>
    <row r="59" spans="1:8" ht="24.9" customHeight="1">
      <c r="A59" s="51"/>
      <c r="B59" s="57"/>
      <c r="C59" s="39"/>
      <c r="D59" s="24" t="s">
        <v>18</v>
      </c>
      <c r="E59" s="25" t="n">
        <v>9408.0</v>
      </c>
      <c r="F59" s="26" t="n">
        <f>3564</f>
        <v>3564.0</v>
      </c>
      <c r="G59" s="25" t="n">
        <v>7.4186581E9</v>
      </c>
      <c r="H59" s="26" t="n">
        <f>2825342100</f>
        <v>2.8253421E9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270.0</v>
      </c>
      <c r="F60" s="18" t="n">
        <f>14</f>
        <v>14.0</v>
      </c>
      <c r="G60" s="17" t="n">
        <v>1.44604121E9</v>
      </c>
      <c r="H60" s="18" t="n">
        <f>75141310</f>
        <v>7.514131E7</v>
      </c>
    </row>
    <row r="61" spans="1:8" ht="24.9" customHeight="1">
      <c r="A61" s="51"/>
      <c r="B61" s="57"/>
      <c r="C61" s="39"/>
      <c r="D61" s="20" t="s">
        <v>16</v>
      </c>
      <c r="E61" s="21" t="n">
        <v>66.0</v>
      </c>
      <c r="F61" s="22" t="n">
        <f>6</f>
        <v>6.0</v>
      </c>
      <c r="G61" s="21" t="n">
        <v>3.518809E8</v>
      </c>
      <c r="H61" s="22" t="n">
        <f>31990900</f>
        <v>3.19909E7</v>
      </c>
    </row>
    <row r="62" spans="1:8" ht="24.9" customHeight="1">
      <c r="A62" s="51"/>
      <c r="B62" s="57"/>
      <c r="C62" s="39"/>
      <c r="D62" s="20" t="s">
        <v>17</v>
      </c>
      <c r="E62" s="21" t="n">
        <v>25.0</v>
      </c>
      <c r="F62" s="22" t="n">
        <f>3</f>
        <v>3.0</v>
      </c>
      <c r="G62" s="21" t="n">
        <v>1.334224E8</v>
      </c>
      <c r="H62" s="22" t="n">
        <f>15980600</f>
        <v>1.59806E7</v>
      </c>
    </row>
    <row r="63" spans="1:8" ht="24.9" customHeight="1">
      <c r="A63" s="51"/>
      <c r="B63" s="57"/>
      <c r="C63" s="39"/>
      <c r="D63" s="24" t="s">
        <v>18</v>
      </c>
      <c r="E63" s="25" t="n">
        <v>361.0</v>
      </c>
      <c r="F63" s="26" t="n">
        <f>23</f>
        <v>23.0</v>
      </c>
      <c r="G63" s="25" t="n">
        <v>1.93134451E9</v>
      </c>
      <c r="H63" s="26" t="n">
        <f>123112810</f>
        <v>1.2311281E8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6.0</v>
      </c>
      <c r="F78" s="22" t="n">
        <f>0</f>
        <v>0.0</v>
      </c>
      <c r="G78" s="21" t="n">
        <v>1809000.0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6.0</v>
      </c>
      <c r="F79" s="26" t="n">
        <f>0</f>
        <v>0.0</v>
      </c>
      <c r="G79" s="25" t="n">
        <v>1809000.0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1035.0</v>
      </c>
      <c r="F92" s="18" t="n">
        <f>0</f>
        <v>0.0</v>
      </c>
      <c r="G92" s="17" t="n">
        <v>1.6137277E9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65.0</v>
      </c>
      <c r="F93" s="22" t="n">
        <f>0</f>
        <v>0.0</v>
      </c>
      <c r="G93" s="21" t="n">
        <v>1.014758E8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20.0</v>
      </c>
      <c r="F94" s="22" t="n">
        <f>0</f>
        <v>0.0</v>
      </c>
      <c r="G94" s="21" t="n">
        <v>3.1098E7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1120.0</v>
      </c>
      <c r="F95" s="26" t="n">
        <f>0</f>
        <v>0.0</v>
      </c>
      <c r="G95" s="25" t="n">
        <v>1.7463015E9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68.0</v>
      </c>
      <c r="F96" s="18" t="n">
        <f>0</f>
        <v>0.0</v>
      </c>
      <c r="G96" s="17" t="n">
        <v>1.581166E8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14.0</v>
      </c>
      <c r="F98" s="22" t="n">
        <f>0</f>
        <v>0.0</v>
      </c>
      <c r="G98" s="21" t="n">
        <v>3.24651E7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82.0</v>
      </c>
      <c r="F99" s="26" t="n">
        <f>0</f>
        <v>0.0</v>
      </c>
      <c r="G99" s="25" t="n">
        <v>1.905817E8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52.0</v>
      </c>
      <c r="F100" s="18" t="n">
        <f>0</f>
        <v>0.0</v>
      </c>
      <c r="G100" s="17" t="n">
        <v>9.39178E7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10.0</v>
      </c>
      <c r="F101" s="22" t="n">
        <f>0</f>
        <v>0.0</v>
      </c>
      <c r="G101" s="21" t="n">
        <v>1.8127E7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62.0</v>
      </c>
      <c r="F103" s="26" t="n">
        <f>0</f>
        <v>0.0</v>
      </c>
      <c r="G103" s="25" t="n">
        <v>1.120448E8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41802.0</v>
      </c>
      <c r="F108" s="18" t="n">
        <f>310</f>
        <v>310.0</v>
      </c>
      <c r="G108" s="17" t="n">
        <v>5.270400465E12</v>
      </c>
      <c r="H108" s="18" t="n">
        <f>39090355000</f>
        <v>3.9090355E10</v>
      </c>
    </row>
    <row r="109" spans="1:8" ht="24.9" customHeight="1">
      <c r="A109" s="51"/>
      <c r="B109" s="57"/>
      <c r="C109" s="39"/>
      <c r="D109" s="20" t="s">
        <v>16</v>
      </c>
      <c r="E109" s="21" t="n">
        <v>25857.0</v>
      </c>
      <c r="F109" s="22" t="n">
        <f>10290</f>
        <v>10290.0</v>
      </c>
      <c r="G109" s="21" t="n">
        <v>3.2580417375E12</v>
      </c>
      <c r="H109" s="22" t="n">
        <f>1295436277500</f>
        <v>1.2954362775E12</v>
      </c>
    </row>
    <row r="110" spans="1:8" ht="24.9" customHeight="1">
      <c r="A110" s="51"/>
      <c r="B110" s="57"/>
      <c r="C110" s="39"/>
      <c r="D110" s="20" t="s">
        <v>17</v>
      </c>
      <c r="E110" s="21" t="n">
        <v>51433.0</v>
      </c>
      <c r="F110" s="22" t="n">
        <f>30802</f>
        <v>30802.0</v>
      </c>
      <c r="G110" s="21" t="n">
        <v>6.4710748958E12</v>
      </c>
      <c r="H110" s="22" t="n">
        <f>3874118765800</f>
        <v>3.8741187658E12</v>
      </c>
    </row>
    <row r="111" spans="1:8" ht="24.9" customHeight="1">
      <c r="A111" s="51"/>
      <c r="B111" s="57"/>
      <c r="C111" s="39"/>
      <c r="D111" s="24" t="s">
        <v>18</v>
      </c>
      <c r="E111" s="25" t="n">
        <v>119092.0</v>
      </c>
      <c r="F111" s="26" t="n">
        <f>41402</f>
        <v>41402.0</v>
      </c>
      <c r="G111" s="25" t="n">
        <v>1.49995170983E13</v>
      </c>
      <c r="H111" s="26" t="n">
        <f>5208645398300</f>
        <v>5.2086453983E12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292.0</v>
      </c>
      <c r="F113" s="22" t="n">
        <f>0</f>
        <v>0.0</v>
      </c>
      <c r="G113" s="21" t="n">
        <v>3.682825E9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100.0</v>
      </c>
      <c r="F114" s="22" t="n">
        <f>0</f>
        <v>0.0</v>
      </c>
      <c r="G114" s="21" t="n">
        <v>1.2606E9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392.0</v>
      </c>
      <c r="F115" s="26" t="n">
        <f>0</f>
        <v>0.0</v>
      </c>
      <c r="G115" s="25" t="n">
        <v>4.943425E9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2200.0</v>
      </c>
      <c r="F116" s="18" t="n">
        <f>2200</f>
        <v>2200.0</v>
      </c>
      <c r="G116" s="17" t="n">
        <v>1.9863E10</v>
      </c>
      <c r="H116" s="18" t="n">
        <f>19863000000</f>
        <v>1.9863E10</v>
      </c>
    </row>
    <row r="117" spans="1:8" ht="24.9" customHeight="1">
      <c r="A117" s="51"/>
      <c r="B117" s="57"/>
      <c r="C117" s="39"/>
      <c r="D117" s="20" t="s">
        <v>16</v>
      </c>
      <c r="E117" s="21" t="n">
        <v>12860.0</v>
      </c>
      <c r="F117" s="22" t="n">
        <f>11000</f>
        <v>11000.0</v>
      </c>
      <c r="G117" s="21" t="n">
        <v>1.1611648E11</v>
      </c>
      <c r="H117" s="22" t="n">
        <f>99225500000</f>
        <v>9.92255E10</v>
      </c>
    </row>
    <row r="118" spans="1:8" ht="24.9" customHeight="1">
      <c r="A118" s="51"/>
      <c r="B118" s="57"/>
      <c r="C118" s="39"/>
      <c r="D118" s="20" t="s">
        <v>17</v>
      </c>
      <c r="E118" s="21" t="n">
        <v>34923.0</v>
      </c>
      <c r="F118" s="22" t="n">
        <f>30170</f>
        <v>30170.0</v>
      </c>
      <c r="G118" s="21" t="n">
        <v>3.14196435E11</v>
      </c>
      <c r="H118" s="22" t="n">
        <f>271342550000</f>
        <v>2.7134255E11</v>
      </c>
    </row>
    <row r="119" spans="1:8" ht="24.9" customHeight="1">
      <c r="A119" s="51"/>
      <c r="B119" s="58"/>
      <c r="C119" s="39"/>
      <c r="D119" s="24" t="s">
        <v>18</v>
      </c>
      <c r="E119" s="25" t="n">
        <v>49983.0</v>
      </c>
      <c r="F119" s="26" t="n">
        <f>43370</f>
        <v>43370.0</v>
      </c>
      <c r="G119" s="25" t="n">
        <v>4.50175915E11</v>
      </c>
      <c r="H119" s="26" t="n">
        <f>390431050000</f>
        <v>3.9043105E11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211.0</v>
      </c>
      <c r="F120" s="18" t="n">
        <f>0</f>
        <v>0.0</v>
      </c>
      <c r="G120" s="17" t="n">
        <v>5.199019375E9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59.0</v>
      </c>
      <c r="F121" s="22" t="n">
        <f>0</f>
        <v>0.0</v>
      </c>
      <c r="G121" s="21" t="n">
        <v>1.455476875E9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132.0</v>
      </c>
      <c r="F122" s="22" t="n">
        <f>0</f>
        <v>0.0</v>
      </c>
      <c r="G122" s="21" t="n">
        <v>3.25399625E9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402.0</v>
      </c>
      <c r="F123" s="26" t="n">
        <f>0</f>
        <v>0.0</v>
      </c>
      <c r="G123" s="25" t="n">
        <v>9.9084925E9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7489.0</v>
      </c>
      <c r="F124" s="18" t="n">
        <f>0</f>
        <v>0.0</v>
      </c>
      <c r="G124" s="17" t="n">
        <v>1.71241559E11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2885.0</v>
      </c>
      <c r="F125" s="22" t="n">
        <f>0</f>
        <v>0.0</v>
      </c>
      <c r="G125" s="21" t="n">
        <v>6.5841118E10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4097.0</v>
      </c>
      <c r="F126" s="22" t="n">
        <f>0</f>
        <v>0.0</v>
      </c>
      <c r="G126" s="21" t="n">
        <v>9.2916996E10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14471.0</v>
      </c>
      <c r="F127" s="26" t="n">
        <f>0</f>
        <v>0.0</v>
      </c>
      <c r="G127" s="25" t="n">
        <v>3.29999673E11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265.0</v>
      </c>
      <c r="F128" s="18" t="n">
        <f>0</f>
        <v>0.0</v>
      </c>
      <c r="G128" s="17" t="n">
        <v>5.983651E8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184.0</v>
      </c>
      <c r="F129" s="22" t="n">
        <f>0</f>
        <v>0.0</v>
      </c>
      <c r="G129" s="21" t="n">
        <v>4.124426E8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204.0</v>
      </c>
      <c r="F130" s="22" t="n">
        <f>0</f>
        <v>0.0</v>
      </c>
      <c r="G130" s="21" t="n">
        <v>4.572589E8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653.0</v>
      </c>
      <c r="F131" s="26" t="n">
        <f>0</f>
        <v>0.0</v>
      </c>
      <c r="G131" s="25" t="n">
        <v>1.4680666E9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8684.0</v>
      </c>
      <c r="F132" s="18" t="n">
        <f>0</f>
        <v>0.0</v>
      </c>
      <c r="G132" s="17" t="n">
        <v>1.99507004E10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2791.0</v>
      </c>
      <c r="F133" s="22" t="n">
        <f>0</f>
        <v>0.0</v>
      </c>
      <c r="G133" s="21" t="n">
        <v>6.38404315E9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1833.0</v>
      </c>
      <c r="F134" s="22" t="n">
        <f>0</f>
        <v>0.0</v>
      </c>
      <c r="G134" s="21" t="n">
        <v>4.17827455E9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13308.0</v>
      </c>
      <c r="F135" s="26" t="n">
        <f>0</f>
        <v>0.0</v>
      </c>
      <c r="G135" s="25" t="n">
        <v>3.05130181E10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106.0</v>
      </c>
      <c r="F136" s="18" t="n">
        <f>0</f>
        <v>0.0</v>
      </c>
      <c r="G136" s="17" t="n">
        <v>2.36136E8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42.0</v>
      </c>
      <c r="F137" s="22" t="n">
        <f>0</f>
        <v>0.0</v>
      </c>
      <c r="G137" s="21" t="n">
        <v>9.37127E7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18.0</v>
      </c>
      <c r="F138" s="22" t="n">
        <f>0</f>
        <v>0.0</v>
      </c>
      <c r="G138" s="21" t="n">
        <v>3.98952E7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166.0</v>
      </c>
      <c r="F139" s="26" t="n">
        <f>0</f>
        <v>0.0</v>
      </c>
      <c r="G139" s="25" t="n">
        <v>3.697439E8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1153.0</v>
      </c>
      <c r="F144" s="18" t="n">
        <f>0</f>
        <v>0.0</v>
      </c>
      <c r="G144" s="17" t="n">
        <v>5.1372075E9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1158.0</v>
      </c>
      <c r="F145" s="22" t="n">
        <f>0</f>
        <v>0.0</v>
      </c>
      <c r="G145" s="21" t="n">
        <v>5.1656445E9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780.0</v>
      </c>
      <c r="F146" s="22" t="n">
        <f>0</f>
        <v>0.0</v>
      </c>
      <c r="G146" s="21" t="n">
        <v>3.4657065E9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3091.0</v>
      </c>
      <c r="F147" s="26" t="n">
        <f>0</f>
        <v>0.0</v>
      </c>
      <c r="G147" s="25" t="n">
        <v>1.37685585E10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11.0</v>
      </c>
      <c r="F148" s="18" t="n">
        <f>0</f>
        <v>0.0</v>
      </c>
      <c r="G148" s="17" t="n">
        <v>1.00248E7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67.0</v>
      </c>
      <c r="F149" s="22" t="n">
        <f>0</f>
        <v>0.0</v>
      </c>
      <c r="G149" s="21" t="n">
        <v>6.09295E7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247.0</v>
      </c>
      <c r="F150" s="22" t="n">
        <f>0</f>
        <v>0.0</v>
      </c>
      <c r="G150" s="21" t="n">
        <v>2.243619E8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325.0</v>
      </c>
      <c r="F151" s="26" t="n">
        <f>0</f>
        <v>0.0</v>
      </c>
      <c r="G151" s="25" t="n">
        <v>2.953162E8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280.0</v>
      </c>
      <c r="F152" s="18" t="n">
        <f>0</f>
        <v>0.0</v>
      </c>
      <c r="G152" s="17" t="n">
        <v>2.505178E8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149.0</v>
      </c>
      <c r="F153" s="22" t="n">
        <f>0</f>
        <v>0.0</v>
      </c>
      <c r="G153" s="21" t="n">
        <v>1.3333475E8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150.0</v>
      </c>
      <c r="F154" s="22" t="n">
        <f>0</f>
        <v>0.0</v>
      </c>
      <c r="G154" s="21" t="n">
        <v>1.337912E8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579.0</v>
      </c>
      <c r="F155" s="26" t="n">
        <f>0</f>
        <v>0.0</v>
      </c>
      <c r="G155" s="25" t="n">
        <v>5.1764375E8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74.0</v>
      </c>
      <c r="F156" s="18" t="n">
        <f>0</f>
        <v>0.0</v>
      </c>
      <c r="G156" s="17" t="n">
        <v>6.67591E7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71.0</v>
      </c>
      <c r="F157" s="22" t="n">
        <f>0</f>
        <v>0.0</v>
      </c>
      <c r="G157" s="21" t="n">
        <v>6.35793E7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228.0</v>
      </c>
      <c r="F158" s="22" t="n">
        <f>0</f>
        <v>0.0</v>
      </c>
      <c r="G158" s="21" t="n">
        <v>2.03076E8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373.0</v>
      </c>
      <c r="F159" s="26" t="n">
        <f>0</f>
        <v>0.0</v>
      </c>
      <c r="G159" s="25" t="n">
        <v>3.334144E8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90.0</v>
      </c>
      <c r="F168" s="18" t="n">
        <f>0</f>
        <v>0.0</v>
      </c>
      <c r="G168" s="17" t="n">
        <v>1.927785E8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296.0</v>
      </c>
      <c r="F169" s="22" t="n">
        <f>0</f>
        <v>0.0</v>
      </c>
      <c r="G169" s="21" t="n">
        <v>6.468845E8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198.0</v>
      </c>
      <c r="F170" s="22" t="n">
        <f>0</f>
        <v>0.0</v>
      </c>
      <c r="G170" s="21" t="n">
        <v>4.33762E8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584.0</v>
      </c>
      <c r="F171" s="26" t="n">
        <f>0</f>
        <v>0.0</v>
      </c>
      <c r="G171" s="25" t="n">
        <v>1.273425E9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358.0</v>
      </c>
      <c r="F204" s="18" t="n">
        <f>0</f>
        <v>0.0</v>
      </c>
      <c r="G204" s="17" t="n">
        <v>1.3867825E9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532.0</v>
      </c>
      <c r="F205" s="22" t="n">
        <f>0</f>
        <v>0.0</v>
      </c>
      <c r="G205" s="21" t="n">
        <v>2.0568575E9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3576.0</v>
      </c>
      <c r="F206" s="22" t="n">
        <f>0</f>
        <v>0.0</v>
      </c>
      <c r="G206" s="21" t="n">
        <v>1.39856245E10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4466.0</v>
      </c>
      <c r="F207" s="26" t="n">
        <f>0</f>
        <v>0.0</v>
      </c>
      <c r="G207" s="25" t="n">
        <v>1.74292645E10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60.0</v>
      </c>
      <c r="F208" s="18" t="n">
        <f>60</f>
        <v>60.0</v>
      </c>
      <c r="G208" s="17" t="n">
        <v>9.34656E7</v>
      </c>
      <c r="H208" s="18" t="n">
        <f>93465600</f>
        <v>9.34656E7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60.0</v>
      </c>
      <c r="F211" s="26" t="n">
        <f>60</f>
        <v>60.0</v>
      </c>
      <c r="G211" s="25" t="n">
        <v>9.34656E7</v>
      </c>
      <c r="H211" s="26" t="n">
        <f>93465600</f>
        <v>9.34656E7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10.0</v>
      </c>
      <c r="F248" s="18" t="n">
        <f>10</f>
        <v>10.0</v>
      </c>
      <c r="G248" s="17" t="n">
        <v>1.480104E8</v>
      </c>
      <c r="H248" s="18" t="n">
        <f>148010400</f>
        <v>1.480104E8</v>
      </c>
    </row>
    <row r="249" spans="1:8" ht="24.9" customHeight="1">
      <c r="A249" s="57"/>
      <c r="B249" s="59"/>
      <c r="C249" s="39"/>
      <c r="D249" s="20" t="s">
        <v>16</v>
      </c>
      <c r="E249" s="21" t="n">
        <v>10.0</v>
      </c>
      <c r="F249" s="22" t="n">
        <f>10</f>
        <v>10.0</v>
      </c>
      <c r="G249" s="21" t="n">
        <v>1.2702E8</v>
      </c>
      <c r="H249" s="22" t="n">
        <f>127020000</f>
        <v>1.2702E8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20.0</v>
      </c>
      <c r="F251" s="26" t="n">
        <f>20</f>
        <v>20.0</v>
      </c>
      <c r="G251" s="25" t="n">
        <v>2.750304E8</v>
      </c>
      <c r="H251" s="26" t="n">
        <f>275030400</f>
        <v>2.750304E8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46272.0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46272.0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6661</f>
        <v>6661.0</v>
      </c>
      <c r="E12" s="35" t="n">
        <f>2866</f>
        <v>2866.0</v>
      </c>
      <c r="F12" s="17" t="n">
        <f>5249</f>
        <v>5249.0</v>
      </c>
      <c r="G12" s="35" t="n">
        <f>2504</f>
        <v>2504.0</v>
      </c>
      <c r="H12" s="17" t="n">
        <f>11910</f>
        <v>11910.0</v>
      </c>
      <c r="I12" s="35" t="n">
        <f>5370</f>
        <v>5370.0</v>
      </c>
      <c r="J12" s="17" t="n">
        <f>1823326390</f>
        <v>1.82332639E9</v>
      </c>
      <c r="K12" s="35" t="n">
        <f>1127147390</f>
        <v>1.12714739E9</v>
      </c>
      <c r="L12" s="17" t="n">
        <f>4231448150</f>
        <v>4.23144815E9</v>
      </c>
      <c r="M12" s="35" t="n">
        <f>3742981150</f>
        <v>3.74298115E9</v>
      </c>
      <c r="N12" s="17" t="n">
        <f>6054774540</f>
        <v>6.05477454E9</v>
      </c>
      <c r="O12" s="35" t="n">
        <f>4870128540</f>
        <v>4.87012854E9</v>
      </c>
    </row>
    <row r="13" spans="1:15" ht="24.9" customHeight="1">
      <c r="A13" s="38"/>
      <c r="B13" s="62"/>
      <c r="C13" s="20" t="s">
        <v>16</v>
      </c>
      <c r="D13" s="21" t="n">
        <f>9416</f>
        <v>9416.0</v>
      </c>
      <c r="E13" s="36" t="n">
        <f>4373</f>
        <v>4373.0</v>
      </c>
      <c r="F13" s="21" t="n">
        <f>6197</f>
        <v>6197.0</v>
      </c>
      <c r="G13" s="36" t="n">
        <f>2401</f>
        <v>2401.0</v>
      </c>
      <c r="H13" s="21" t="n">
        <f>15613</f>
        <v>15613.0</v>
      </c>
      <c r="I13" s="36" t="n">
        <f>6774</f>
        <v>6774.0</v>
      </c>
      <c r="J13" s="21" t="n">
        <f>1831940400</f>
        <v>1.8319404E9</v>
      </c>
      <c r="K13" s="36" t="n">
        <f>992617400</f>
        <v>9.926174E8</v>
      </c>
      <c r="L13" s="21" t="n">
        <f>2136353900</f>
        <v>2.1363539E9</v>
      </c>
      <c r="M13" s="36" t="n">
        <f>1406161900</f>
        <v>1.4061619E9</v>
      </c>
      <c r="N13" s="21" t="n">
        <f>3968294300</f>
        <v>3.9682943E9</v>
      </c>
      <c r="O13" s="36" t="n">
        <f>2398779300</f>
        <v>2.3987793E9</v>
      </c>
    </row>
    <row r="14" spans="1:15" ht="24.9" customHeight="1">
      <c r="A14" s="38"/>
      <c r="B14" s="62"/>
      <c r="C14" s="20" t="s">
        <v>17</v>
      </c>
      <c r="D14" s="21" t="n">
        <f>20373</f>
        <v>20373.0</v>
      </c>
      <c r="E14" s="36" t="n">
        <f>13850</f>
        <v>13850.0</v>
      </c>
      <c r="F14" s="21" t="n">
        <f>7757</f>
        <v>7757.0</v>
      </c>
      <c r="G14" s="36" t="n">
        <f>2808</f>
        <v>2808.0</v>
      </c>
      <c r="H14" s="21" t="n">
        <f>28130</f>
        <v>28130.0</v>
      </c>
      <c r="I14" s="36" t="n">
        <f>16658</f>
        <v>16658.0</v>
      </c>
      <c r="J14" s="21" t="n">
        <f>11708072940</f>
        <v>1.170807294E10</v>
      </c>
      <c r="K14" s="36" t="n">
        <f>10102880940</f>
        <v>1.010288094E10</v>
      </c>
      <c r="L14" s="21" t="n">
        <f>3881920912</f>
        <v>3.881920912E9</v>
      </c>
      <c r="M14" s="36" t="n">
        <f>2632658912</f>
        <v>2.632658912E9</v>
      </c>
      <c r="N14" s="21" t="n">
        <f>15589993852</f>
        <v>1.5589993852E10</v>
      </c>
      <c r="O14" s="36" t="n">
        <f>12735539852</f>
        <v>1.2735539852E10</v>
      </c>
    </row>
    <row r="15" spans="1:15" ht="24.9" customHeight="1">
      <c r="A15" s="38"/>
      <c r="B15" s="62"/>
      <c r="C15" s="24" t="s">
        <v>18</v>
      </c>
      <c r="D15" s="25" t="n">
        <f>36450</f>
        <v>36450.0</v>
      </c>
      <c r="E15" s="37" t="n">
        <f>21089</f>
        <v>21089.0</v>
      </c>
      <c r="F15" s="25" t="n">
        <f>19203</f>
        <v>19203.0</v>
      </c>
      <c r="G15" s="37" t="n">
        <f>7713</f>
        <v>7713.0</v>
      </c>
      <c r="H15" s="25" t="n">
        <f>55653</f>
        <v>55653.0</v>
      </c>
      <c r="I15" s="37" t="n">
        <f>28802</f>
        <v>28802.0</v>
      </c>
      <c r="J15" s="25" t="n">
        <f>15363339730</f>
        <v>1.536333973E10</v>
      </c>
      <c r="K15" s="37" t="n">
        <f>12222645730</f>
        <v>1.222264573E10</v>
      </c>
      <c r="L15" s="25" t="n">
        <f>10249722962</f>
        <v>1.0249722962E10</v>
      </c>
      <c r="M15" s="37" t="n">
        <f>7781801962</f>
        <v>7.781801962E9</v>
      </c>
      <c r="N15" s="25" t="n">
        <f>25613062692</f>
        <v>2.5613062692E10</v>
      </c>
      <c r="O15" s="37" t="n">
        <f>20004447692</f>
        <v>2.0004447692E10</v>
      </c>
    </row>
    <row r="16" spans="1:15" ht="24.9" customHeight="1">
      <c r="A16" s="38"/>
      <c r="B16" s="61" t="s">
        <v>105</v>
      </c>
      <c r="C16" s="16" t="s">
        <v>15</v>
      </c>
      <c r="D16" s="17" t="n">
        <f>8941</f>
        <v>8941.0</v>
      </c>
      <c r="E16" s="35" t="n">
        <f>1490</f>
        <v>1490.0</v>
      </c>
      <c r="F16" s="17" t="n">
        <f>7766</f>
        <v>7766.0</v>
      </c>
      <c r="G16" s="35" t="n">
        <f>520</f>
        <v>520.0</v>
      </c>
      <c r="H16" s="17" t="n">
        <f>16707</f>
        <v>16707.0</v>
      </c>
      <c r="I16" s="35" t="n">
        <f>2010</f>
        <v>2010.0</v>
      </c>
      <c r="J16" s="17" t="n">
        <f>274034380</f>
        <v>2.7403438E8</v>
      </c>
      <c r="K16" s="35" t="n">
        <f>27757580</f>
        <v>2.775758E7</v>
      </c>
      <c r="L16" s="17" t="n">
        <f>246072850</f>
        <v>2.4607285E8</v>
      </c>
      <c r="M16" s="35" t="n">
        <f>4889850</f>
        <v>4889850.0</v>
      </c>
      <c r="N16" s="17" t="n">
        <f>520107230</f>
        <v>5.2010723E8</v>
      </c>
      <c r="O16" s="35" t="n">
        <f>32647430</f>
        <v>3.264743E7</v>
      </c>
    </row>
    <row r="17" spans="1:15" ht="24.9" customHeight="1">
      <c r="A17" s="38"/>
      <c r="B17" s="62"/>
      <c r="C17" s="20" t="s">
        <v>16</v>
      </c>
      <c r="D17" s="21" t="n">
        <f>6690</f>
        <v>6690.0</v>
      </c>
      <c r="E17" s="36" t="n">
        <f>620</f>
        <v>620.0</v>
      </c>
      <c r="F17" s="21" t="n">
        <f>5666</f>
        <v>5666.0</v>
      </c>
      <c r="G17" s="36" t="n">
        <f>920</f>
        <v>920.0</v>
      </c>
      <c r="H17" s="21" t="n">
        <f>12356</f>
        <v>12356.0</v>
      </c>
      <c r="I17" s="36" t="n">
        <f>1540</f>
        <v>1540.0</v>
      </c>
      <c r="J17" s="21" t="n">
        <f>169181920</f>
        <v>1.6918192E8</v>
      </c>
      <c r="K17" s="36" t="n">
        <f>2863320</f>
        <v>2863320.0</v>
      </c>
      <c r="L17" s="21" t="n">
        <f>225672800</f>
        <v>2.256728E8</v>
      </c>
      <c r="M17" s="36" t="n">
        <f>42630800</f>
        <v>4.26308E7</v>
      </c>
      <c r="N17" s="21" t="n">
        <f>394854720</f>
        <v>3.9485472E8</v>
      </c>
      <c r="O17" s="36" t="n">
        <f>45494120</f>
        <v>4.549412E7</v>
      </c>
    </row>
    <row r="18" spans="1:15" ht="24.9" customHeight="1">
      <c r="A18" s="38"/>
      <c r="B18" s="62"/>
      <c r="C18" s="20" t="s">
        <v>17</v>
      </c>
      <c r="D18" s="21" t="n">
        <f>5758</f>
        <v>5758.0</v>
      </c>
      <c r="E18" s="36" t="n">
        <f>370</f>
        <v>370.0</v>
      </c>
      <c r="F18" s="21" t="n">
        <f>5218</f>
        <v>5218.0</v>
      </c>
      <c r="G18" s="36" t="n">
        <f>580</f>
        <v>580.0</v>
      </c>
      <c r="H18" s="21" t="n">
        <f>10976</f>
        <v>10976.0</v>
      </c>
      <c r="I18" s="36" t="n">
        <f>950</f>
        <v>950.0</v>
      </c>
      <c r="J18" s="21" t="n">
        <f>187100050</f>
        <v>1.8710005E8</v>
      </c>
      <c r="K18" s="36" t="n">
        <f>2090850</f>
        <v>2090850.0</v>
      </c>
      <c r="L18" s="21" t="n">
        <f>199673150</f>
        <v>1.9967315E8</v>
      </c>
      <c r="M18" s="36" t="n">
        <f>61504550</f>
        <v>6.150455E7</v>
      </c>
      <c r="N18" s="21" t="n">
        <f>386773200</f>
        <v>3.867732E8</v>
      </c>
      <c r="O18" s="36" t="n">
        <f>63595400</f>
        <v>6.35954E7</v>
      </c>
    </row>
    <row r="19" spans="1:15" ht="24.9" customHeight="1">
      <c r="A19" s="38"/>
      <c r="B19" s="62"/>
      <c r="C19" s="24" t="s">
        <v>18</v>
      </c>
      <c r="D19" s="25" t="n">
        <f>21389</f>
        <v>21389.0</v>
      </c>
      <c r="E19" s="37" t="n">
        <f>2480</f>
        <v>2480.0</v>
      </c>
      <c r="F19" s="25" t="n">
        <f>18650</f>
        <v>18650.0</v>
      </c>
      <c r="G19" s="37" t="n">
        <f>2020</f>
        <v>2020.0</v>
      </c>
      <c r="H19" s="25" t="n">
        <f>40039</f>
        <v>40039.0</v>
      </c>
      <c r="I19" s="37" t="n">
        <f>4500</f>
        <v>4500.0</v>
      </c>
      <c r="J19" s="25" t="n">
        <f>630316350</f>
        <v>6.3031635E8</v>
      </c>
      <c r="K19" s="37" t="n">
        <f>32711750</f>
        <v>3.271175E7</v>
      </c>
      <c r="L19" s="25" t="n">
        <f>671418800</f>
        <v>6.714188E8</v>
      </c>
      <c r="M19" s="37" t="n">
        <f>109025200</f>
        <v>1.090252E8</v>
      </c>
      <c r="N19" s="25" t="n">
        <f>1301735150</f>
        <v>1.30173515E9</v>
      </c>
      <c r="O19" s="37" t="n">
        <f>141736950</f>
        <v>1.4173695E8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100</f>
        <v>100.0</v>
      </c>
      <c r="G20" s="35" t="n">
        <f>100</f>
        <v>100.0</v>
      </c>
      <c r="H20" s="17" t="n">
        <f>100</f>
        <v>100.0</v>
      </c>
      <c r="I20" s="35" t="n">
        <f>100</f>
        <v>100.0</v>
      </c>
      <c r="J20" s="17" t="n">
        <f>0</f>
        <v>0.0</v>
      </c>
      <c r="K20" s="35" t="n">
        <f>0</f>
        <v>0.0</v>
      </c>
      <c r="L20" s="17" t="n">
        <f>102000000</f>
        <v>1.02E8</v>
      </c>
      <c r="M20" s="35" t="n">
        <f>102000000</f>
        <v>1.02E8</v>
      </c>
      <c r="N20" s="17" t="n">
        <f>102000000</f>
        <v>1.02E8</v>
      </c>
      <c r="O20" s="35" t="n">
        <f>102000000</f>
        <v>1.02E8</v>
      </c>
    </row>
    <row r="21" spans="1:15" ht="24.9" customHeight="1">
      <c r="A21" s="38"/>
      <c r="B21" s="62"/>
      <c r="C21" s="20" t="s">
        <v>16</v>
      </c>
      <c r="D21" s="21" t="n">
        <f>303</f>
        <v>303.0</v>
      </c>
      <c r="E21" s="36" t="n">
        <f>83</f>
        <v>83.0</v>
      </c>
      <c r="F21" s="21" t="n">
        <f>250</f>
        <v>250.0</v>
      </c>
      <c r="G21" s="36" t="n">
        <f>250</f>
        <v>250.0</v>
      </c>
      <c r="H21" s="21" t="n">
        <f>553</f>
        <v>553.0</v>
      </c>
      <c r="I21" s="36" t="n">
        <f>333</f>
        <v>333.0</v>
      </c>
      <c r="J21" s="21" t="n">
        <f>37289790</f>
        <v>3.728979E7</v>
      </c>
      <c r="K21" s="36" t="n">
        <f>35089790</f>
        <v>3.508979E7</v>
      </c>
      <c r="L21" s="21" t="n">
        <f>285000000</f>
        <v>2.85E8</v>
      </c>
      <c r="M21" s="36" t="n">
        <f>285000000</f>
        <v>2.85E8</v>
      </c>
      <c r="N21" s="21" t="n">
        <f>322289790</f>
        <v>3.2228979E8</v>
      </c>
      <c r="O21" s="36" t="n">
        <f>320089790</f>
        <v>3.2008979E8</v>
      </c>
    </row>
    <row r="22" spans="1:15" ht="24.9" customHeight="1">
      <c r="A22" s="38"/>
      <c r="B22" s="62"/>
      <c r="C22" s="20" t="s">
        <v>17</v>
      </c>
      <c r="D22" s="21" t="n">
        <f>430</f>
        <v>430.0</v>
      </c>
      <c r="E22" s="36" t="n">
        <f>415</f>
        <v>415.0</v>
      </c>
      <c r="F22" s="21" t="n">
        <f>852</f>
        <v>852.0</v>
      </c>
      <c r="G22" s="36" t="n">
        <f>850</f>
        <v>850.0</v>
      </c>
      <c r="H22" s="21" t="n">
        <f>1282</f>
        <v>1282.0</v>
      </c>
      <c r="I22" s="36" t="n">
        <f>1265</f>
        <v>1265.0</v>
      </c>
      <c r="J22" s="21" t="n">
        <f>1184610000</f>
        <v>1.18461E9</v>
      </c>
      <c r="K22" s="36" t="n">
        <f>1183305000</f>
        <v>1.183305E9</v>
      </c>
      <c r="L22" s="21" t="n">
        <f>964450000</f>
        <v>9.6445E8</v>
      </c>
      <c r="M22" s="36" t="n">
        <f>963340000</f>
        <v>9.6334E8</v>
      </c>
      <c r="N22" s="21" t="n">
        <f>2149060000</f>
        <v>2.14906E9</v>
      </c>
      <c r="O22" s="36" t="n">
        <f>2146645000</f>
        <v>2.146645E9</v>
      </c>
    </row>
    <row r="23" spans="1:15" ht="24.9" customHeight="1">
      <c r="A23" s="38"/>
      <c r="B23" s="62"/>
      <c r="C23" s="24" t="s">
        <v>18</v>
      </c>
      <c r="D23" s="25" t="n">
        <f>733</f>
        <v>733.0</v>
      </c>
      <c r="E23" s="37" t="n">
        <f>498</f>
        <v>498.0</v>
      </c>
      <c r="F23" s="25" t="n">
        <f>1202</f>
        <v>1202.0</v>
      </c>
      <c r="G23" s="37" t="n">
        <f>1200</f>
        <v>1200.0</v>
      </c>
      <c r="H23" s="25" t="n">
        <f>1935</f>
        <v>1935.0</v>
      </c>
      <c r="I23" s="37" t="n">
        <f>1698</f>
        <v>1698.0</v>
      </c>
      <c r="J23" s="25" t="n">
        <f>1221899790</f>
        <v>1.22189979E9</v>
      </c>
      <c r="K23" s="37" t="n">
        <f>1218394790</f>
        <v>1.21839479E9</v>
      </c>
      <c r="L23" s="25" t="n">
        <f>1351450000</f>
        <v>1.35145E9</v>
      </c>
      <c r="M23" s="37" t="n">
        <f>1350340000</f>
        <v>1.35034E9</v>
      </c>
      <c r="N23" s="25" t="n">
        <f>2573349790</f>
        <v>2.57334979E9</v>
      </c>
      <c r="O23" s="37" t="n">
        <f>2568734790</f>
        <v>2.56873479E9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5</f>
        <v>5.0</v>
      </c>
      <c r="G36" s="18" t="n">
        <f>0</f>
        <v>0.0</v>
      </c>
      <c r="H36" s="17" t="n">
        <f>5</f>
        <v>5.0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1550000</f>
        <v>1550000.0</v>
      </c>
      <c r="M36" s="18" t="n">
        <f>0</f>
        <v>0.0</v>
      </c>
      <c r="N36" s="17" t="n">
        <f>1550000</f>
        <v>1550000.0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3</f>
        <v>3.0</v>
      </c>
      <c r="E38" s="36" t="n">
        <f>0</f>
        <v>0.0</v>
      </c>
      <c r="F38" s="21" t="n">
        <f>10</f>
        <v>10.0</v>
      </c>
      <c r="G38" s="36" t="n">
        <f>0</f>
        <v>0.0</v>
      </c>
      <c r="H38" s="21" t="n">
        <f>13</f>
        <v>13.0</v>
      </c>
      <c r="I38" s="36" t="n">
        <f>0</f>
        <v>0.0</v>
      </c>
      <c r="J38" s="21" t="n">
        <f>690000</f>
        <v>690000.0</v>
      </c>
      <c r="K38" s="36" t="n">
        <f>0</f>
        <v>0.0</v>
      </c>
      <c r="L38" s="21" t="n">
        <f>5900000</f>
        <v>5900000.0</v>
      </c>
      <c r="M38" s="36" t="n">
        <f>0</f>
        <v>0.0</v>
      </c>
      <c r="N38" s="21" t="n">
        <f>6590000</f>
        <v>6590000.0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3</f>
        <v>3.0</v>
      </c>
      <c r="E39" s="37" t="n">
        <f>0</f>
        <v>0.0</v>
      </c>
      <c r="F39" s="25" t="n">
        <f>15</f>
        <v>15.0</v>
      </c>
      <c r="G39" s="37" t="n">
        <f>0</f>
        <v>0.0</v>
      </c>
      <c r="H39" s="25" t="n">
        <f>18</f>
        <v>18.0</v>
      </c>
      <c r="I39" s="37" t="n">
        <f>0</f>
        <v>0.0</v>
      </c>
      <c r="J39" s="25" t="n">
        <f>690000</f>
        <v>690000.0</v>
      </c>
      <c r="K39" s="37" t="n">
        <f>0</f>
        <v>0.0</v>
      </c>
      <c r="L39" s="25" t="n">
        <f>7450000</f>
        <v>7450000.0</v>
      </c>
      <c r="M39" s="37" t="n">
        <f>0</f>
        <v>0.0</v>
      </c>
      <c r="N39" s="25" t="n">
        <f>8140000</f>
        <v>8140000.0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10914</f>
        <v>10914.0</v>
      </c>
      <c r="E41" s="36" t="n">
        <f>0</f>
        <v>0.0</v>
      </c>
      <c r="F41" s="21" t="n">
        <f>3027</f>
        <v>3027.0</v>
      </c>
      <c r="G41" s="36" t="n">
        <f>0</f>
        <v>0.0</v>
      </c>
      <c r="H41" s="21" t="n">
        <f>13941</f>
        <v>13941.0</v>
      </c>
      <c r="I41" s="36" t="n">
        <f>0</f>
        <v>0.0</v>
      </c>
      <c r="J41" s="21" t="n">
        <f>6275820</f>
        <v>6275820.0</v>
      </c>
      <c r="K41" s="36" t="n">
        <f>0</f>
        <v>0.0</v>
      </c>
      <c r="L41" s="21" t="n">
        <f>12979554</f>
        <v>1.2979554E7</v>
      </c>
      <c r="M41" s="36" t="n">
        <f>0</f>
        <v>0.0</v>
      </c>
      <c r="N41" s="21" t="n">
        <f>19255374</f>
        <v>1.9255374E7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1723</f>
        <v>1723.0</v>
      </c>
      <c r="E42" s="36" t="n">
        <f>0</f>
        <v>0.0</v>
      </c>
      <c r="F42" s="21" t="n">
        <f>6167</f>
        <v>6167.0</v>
      </c>
      <c r="G42" s="36" t="n">
        <f>0</f>
        <v>0.0</v>
      </c>
      <c r="H42" s="21" t="n">
        <f>7890</f>
        <v>7890.0</v>
      </c>
      <c r="I42" s="36" t="n">
        <f>0</f>
        <v>0.0</v>
      </c>
      <c r="J42" s="21" t="n">
        <f>8703650</f>
        <v>8703650.0</v>
      </c>
      <c r="K42" s="36" t="n">
        <f>0</f>
        <v>0.0</v>
      </c>
      <c r="L42" s="21" t="n">
        <f>18563806</f>
        <v>1.8563806E7</v>
      </c>
      <c r="M42" s="36" t="n">
        <f>0</f>
        <v>0.0</v>
      </c>
      <c r="N42" s="21" t="n">
        <f>27267456</f>
        <v>2.7267456E7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12637</f>
        <v>12637.0</v>
      </c>
      <c r="E43" s="37" t="n">
        <f>0</f>
        <v>0.0</v>
      </c>
      <c r="F43" s="25" t="n">
        <f>9194</f>
        <v>9194.0</v>
      </c>
      <c r="G43" s="37" t="n">
        <f>0</f>
        <v>0.0</v>
      </c>
      <c r="H43" s="25" t="n">
        <f>21831</f>
        <v>21831.0</v>
      </c>
      <c r="I43" s="37" t="n">
        <f>0</f>
        <v>0.0</v>
      </c>
      <c r="J43" s="25" t="n">
        <f>14979470</f>
        <v>1.497947E7</v>
      </c>
      <c r="K43" s="37" t="n">
        <f>0</f>
        <v>0.0</v>
      </c>
      <c r="L43" s="25" t="n">
        <f>31543360</f>
        <v>3.154336E7</v>
      </c>
      <c r="M43" s="37" t="n">
        <f>0</f>
        <v>0.0</v>
      </c>
      <c r="N43" s="25" t="n">
        <f>46522830</f>
        <v>4.652283E7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