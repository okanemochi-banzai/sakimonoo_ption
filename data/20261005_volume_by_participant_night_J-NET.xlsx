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<sst xmlns="http://schemas.openxmlformats.org/spreadsheetml/2006/main" count="232" uniqueCount="68">
  <si>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</si>
  <si>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</si>
  <si>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</si>
  <si>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</si>
  <si>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</si>
  <si>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</si>
  <si>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</si>
  <si>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</si>
  <si>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</si>
  <si>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20261005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</si>
  <si>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</si>
  <si>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</si>
  <si>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</si>
  <si>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</si>
  <si>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</si>
  <si>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</si>
  <si>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</si>
  <si>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</si>
  <si>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</si>
  <si>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</si>
  <si>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</si>
  <si>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</si>
  <si>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</si>
  <si>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</si>
  <si>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</si>
  <si>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</si>
  <si>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</si>
  <si>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</si>
  <si>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</si>
  <si>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</si>
  <si>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</si>
  <si>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</si>
  <si>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</si>
  <si>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</si>
  <si>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11746</t>
  </si>
  <si>
    <t>ＵＢＳ証券</t>
  </si>
  <si>
    <t>UBS Securities Japan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</si>
  <si>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</si>
  <si>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</si>
  <si>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</si>
  <si>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</si>
  <si>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</si>
  <si>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</si>
  <si>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</si>
  <si>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</si>
  <si>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</si>
  <si>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</si>
  <si>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</si>
  <si>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</si>
  <si>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NK225E</t>
  </si>
  <si>
    <t>131229218</t>
  </si>
  <si>
    <t>NIKKEI 225 OOP P2610-69250</t>
  </si>
  <si>
    <t>131229518</t>
  </si>
  <si>
    <t>NIKKEI 225 OOP P2610-69500</t>
  </si>
  <si>
    <t>131229718</t>
  </si>
  <si>
    <t>NIKKEI 225 OOP P2610-69750</t>
  </si>
  <si>
    <t>131340018</t>
  </si>
  <si>
    <t>NIKKEI 225 OOP P2610-70000</t>
  </si>
  <si>
    <t>141341018</t>
  </si>
  <si>
    <t>NIKKEI 225 OOP C2610-71000</t>
  </si>
  <si>
    <t>141220718</t>
  </si>
  <si>
    <t>NIKKEI 225 OOP C2610-70750</t>
  </si>
  <si>
    <t>141220518</t>
  </si>
  <si>
    <t>NIKKEI 225 OOP C2610-70500</t>
  </si>
  <si>
    <t>141220218</t>
  </si>
  <si>
    <t>NIKKEI 225 OOP C2610-70250</t>
  </si>
  <si>
    <t>141340018</t>
  </si>
  <si>
    <t>NIKKEI 225 OOP C2610-70000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</si>
</sst>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1966.0</f>
        <v>1966.0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612.0</f>
        <v>612.0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437.0</f>
        <v>437.0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180.0</f>
        <v>180.0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86.0</f>
        <v>86.0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18.0</f>
        <v>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13.0</f>
        <v>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10.0</f>
        <v>10.0</v>
      </c>
    </row>
    <row r="17">
      <c r="A17" s="3" t="s">
        <v>10</v>
      </c>
      <c r="B17" s="4" t="s">
        <v>37</v>
      </c>
      <c r="C17" s="4" t="s">
        <v>38</v>
      </c>
      <c r="D17" s="3" t="n">
        <v>1.0</v>
      </c>
      <c r="E17" s="4" t="s">
        <v>16</v>
      </c>
      <c r="F17" s="4" t="s">
        <v>17</v>
      </c>
      <c r="G17" s="4" t="s">
        <v>18</v>
      </c>
      <c r="H17" s="5" t="n">
        <f>18.0</f>
        <v>18.0</v>
      </c>
    </row>
    <row r="18">
      <c r="A18" s="3" t="s">
        <v>10</v>
      </c>
      <c r="B18" s="4" t="s">
        <v>37</v>
      </c>
      <c r="C18" s="4" t="s">
        <v>38</v>
      </c>
      <c r="D18" s="3" t="n">
        <v>2.0</v>
      </c>
      <c r="E18" s="4" t="s">
        <v>25</v>
      </c>
      <c r="F18" s="4" t="s">
        <v>26</v>
      </c>
      <c r="G18" s="4" t="s">
        <v>27</v>
      </c>
      <c r="H18" s="5" t="n">
        <f>4.0</f>
        <v>4.0</v>
      </c>
    </row>
    <row r="19">
      <c r="A19" s="3" t="s">
        <v>10</v>
      </c>
      <c r="B19" s="4" t="s">
        <v>37</v>
      </c>
      <c r="C19" s="4" t="s">
        <v>38</v>
      </c>
      <c r="D19" s="3" t="n">
        <v>2.0</v>
      </c>
      <c r="E19" s="4" t="s">
        <v>13</v>
      </c>
      <c r="F19" s="4" t="s">
        <v>14</v>
      </c>
      <c r="G19" s="4" t="s">
        <v>15</v>
      </c>
      <c r="H19" s="5" t="n">
        <f>4.0</f>
        <v>4.0</v>
      </c>
    </row>
    <row r="20">
      <c r="A20" s="3" t="s">
        <v>39</v>
      </c>
      <c r="B20" s="4" t="s">
        <v>40</v>
      </c>
      <c r="C20" s="4" t="s">
        <v>41</v>
      </c>
      <c r="D20" s="3" t="n">
        <v>1.0</v>
      </c>
      <c r="E20" s="4" t="s">
        <v>13</v>
      </c>
      <c r="F20" s="4" t="s">
        <v>14</v>
      </c>
      <c r="G20" s="4" t="s">
        <v>15</v>
      </c>
      <c r="H20" s="5" t="n">
        <f>4586.0</f>
        <v>4586.0</v>
      </c>
    </row>
    <row r="21">
      <c r="A21" s="3" t="s">
        <v>39</v>
      </c>
      <c r="B21" s="4" t="s">
        <v>40</v>
      </c>
      <c r="C21" s="4" t="s">
        <v>41</v>
      </c>
      <c r="D21" s="3" t="n">
        <v>2.0</v>
      </c>
      <c r="E21" s="4" t="s">
        <v>16</v>
      </c>
      <c r="F21" s="4" t="s">
        <v>17</v>
      </c>
      <c r="G21" s="4" t="s">
        <v>18</v>
      </c>
      <c r="H21" s="5" t="n">
        <f>1580.0</f>
        <v>1580.0</v>
      </c>
    </row>
    <row r="22">
      <c r="A22" s="3" t="s">
        <v>39</v>
      </c>
      <c r="B22" s="4" t="s">
        <v>40</v>
      </c>
      <c r="C22" s="4" t="s">
        <v>41</v>
      </c>
      <c r="D22" s="3" t="n">
        <v>3.0</v>
      </c>
      <c r="E22" s="4" t="s">
        <v>25</v>
      </c>
      <c r="F22" s="4" t="s">
        <v>26</v>
      </c>
      <c r="G22" s="4" t="s">
        <v>27</v>
      </c>
      <c r="H22" s="5" t="n">
        <f>206.0</f>
        <v>206.0</v>
      </c>
    </row>
    <row r="23">
      <c r="A23" s="3" t="s">
        <v>39</v>
      </c>
      <c r="B23" s="4" t="s">
        <v>42</v>
      </c>
      <c r="C23" s="4" t="s">
        <v>43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156.0</f>
        <v>156.0</v>
      </c>
    </row>
    <row r="24">
      <c r="A24" s="3" t="s">
        <v>39</v>
      </c>
      <c r="B24" s="4" t="s">
        <v>42</v>
      </c>
      <c r="C24" s="4" t="s">
        <v>43</v>
      </c>
      <c r="D24" s="3" t="n">
        <v>2.0</v>
      </c>
      <c r="E24" s="4" t="s">
        <v>16</v>
      </c>
      <c r="F24" s="4" t="s">
        <v>17</v>
      </c>
      <c r="G24" s="4" t="s">
        <v>18</v>
      </c>
      <c r="H24" s="5" t="n">
        <f>134.0</f>
        <v>134.0</v>
      </c>
    </row>
    <row r="25">
      <c r="A25" s="3" t="s">
        <v>39</v>
      </c>
      <c r="B25" s="4" t="s">
        <v>42</v>
      </c>
      <c r="C25" s="4" t="s">
        <v>43</v>
      </c>
      <c r="D25" s="3" t="n">
        <v>3.0</v>
      </c>
      <c r="E25" s="4" t="s">
        <v>25</v>
      </c>
      <c r="F25" s="4" t="s">
        <v>26</v>
      </c>
      <c r="G25" s="4" t="s">
        <v>27</v>
      </c>
      <c r="H25" s="5" t="n">
        <f>24.0</f>
        <v>24.0</v>
      </c>
    </row>
    <row r="26">
      <c r="A26" s="3" t="s">
        <v>39</v>
      </c>
      <c r="B26" s="4" t="s">
        <v>44</v>
      </c>
      <c r="C26" s="4" t="s">
        <v>45</v>
      </c>
      <c r="D26" s="3" t="n">
        <v>1.0</v>
      </c>
      <c r="E26" s="4" t="s">
        <v>13</v>
      </c>
      <c r="F26" s="4" t="s">
        <v>14</v>
      </c>
      <c r="G26" s="4" t="s">
        <v>15</v>
      </c>
      <c r="H26" s="5" t="n">
        <f>45366.0</f>
        <v>45366.0</v>
      </c>
    </row>
    <row r="27">
      <c r="A27" s="3" t="s">
        <v>39</v>
      </c>
      <c r="B27" s="4" t="s">
        <v>44</v>
      </c>
      <c r="C27" s="4" t="s">
        <v>45</v>
      </c>
      <c r="D27" s="3" t="n">
        <v>2.0</v>
      </c>
      <c r="E27" s="4" t="s">
        <v>16</v>
      </c>
      <c r="F27" s="4" t="s">
        <v>17</v>
      </c>
      <c r="G27" s="4" t="s">
        <v>18</v>
      </c>
      <c r="H27" s="5" t="n">
        <f>28076.0</f>
        <v>28076.0</v>
      </c>
    </row>
    <row r="28">
      <c r="A28" s="3" t="s">
        <v>39</v>
      </c>
      <c r="B28" s="4" t="s">
        <v>44</v>
      </c>
      <c r="C28" s="4" t="s">
        <v>45</v>
      </c>
      <c r="D28" s="3" t="n">
        <v>3.0</v>
      </c>
      <c r="E28" s="4" t="s">
        <v>25</v>
      </c>
      <c r="F28" s="4" t="s">
        <v>26</v>
      </c>
      <c r="G28" s="4" t="s">
        <v>27</v>
      </c>
      <c r="H28" s="5" t="n">
        <f>4966.0</f>
        <v>4966.0</v>
      </c>
    </row>
    <row r="29">
      <c r="A29" s="3" t="s">
        <v>39</v>
      </c>
      <c r="B29" s="4" t="s">
        <v>44</v>
      </c>
      <c r="C29" s="4" t="s">
        <v>45</v>
      </c>
      <c r="D29" s="3" t="n">
        <v>4.0</v>
      </c>
      <c r="E29" s="4" t="s">
        <v>19</v>
      </c>
      <c r="F29" s="4" t="s">
        <v>20</v>
      </c>
      <c r="G29" s="4" t="s">
        <v>21</v>
      </c>
      <c r="H29" s="5" t="n">
        <f>24.0</f>
        <v>24.0</v>
      </c>
    </row>
    <row r="30">
      <c r="A30" s="3" t="s">
        <v>46</v>
      </c>
      <c r="B30" s="4" t="s">
        <v>47</v>
      </c>
      <c r="C30" s="4" t="s">
        <v>48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20.0</f>
        <v>20.0</v>
      </c>
    </row>
    <row r="31">
      <c r="A31" s="3" t="s">
        <v>46</v>
      </c>
      <c r="B31" s="4" t="s">
        <v>47</v>
      </c>
      <c r="C31" s="4" t="s">
        <v>48</v>
      </c>
      <c r="D31" s="3" t="n">
        <v>2.0</v>
      </c>
      <c r="E31" s="4" t="s">
        <v>19</v>
      </c>
      <c r="F31" s="4" t="s">
        <v>20</v>
      </c>
      <c r="G31" s="4" t="s">
        <v>21</v>
      </c>
      <c r="H31" s="5" t="n">
        <f>10.0</f>
        <v>10.0</v>
      </c>
    </row>
    <row r="32">
      <c r="A32" s="3" t="s">
        <v>46</v>
      </c>
      <c r="B32" s="4" t="s">
        <v>47</v>
      </c>
      <c r="C32" s="4" t="s">
        <v>48</v>
      </c>
      <c r="D32" s="3" t="n">
        <v>3.0</v>
      </c>
      <c r="E32" s="4" t="s">
        <v>25</v>
      </c>
      <c r="F32" s="4" t="s">
        <v>26</v>
      </c>
      <c r="G32" s="4" t="s">
        <v>27</v>
      </c>
      <c r="H32" s="5" t="n">
        <f>4.0</f>
        <v>4.0</v>
      </c>
    </row>
    <row r="33">
      <c r="A33" s="3" t="s">
        <v>49</v>
      </c>
      <c r="B33" s="4" t="s">
        <v>50</v>
      </c>
      <c r="C33" s="4" t="s">
        <v>51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2.0</f>
        <v>2.0</v>
      </c>
    </row>
    <row r="34">
      <c r="A34" s="3" t="s">
        <v>49</v>
      </c>
      <c r="B34" s="4" t="s">
        <v>52</v>
      </c>
      <c r="C34" s="4" t="s">
        <v>53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6.0</f>
        <v>6.0</v>
      </c>
    </row>
    <row r="35">
      <c r="A35" s="3" t="s">
        <v>49</v>
      </c>
      <c r="B35" s="4" t="s">
        <v>54</v>
      </c>
      <c r="C35" s="4" t="s">
        <v>55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49</v>
      </c>
      <c r="B36" s="4" t="s">
        <v>56</v>
      </c>
      <c r="C36" s="4" t="s">
        <v>57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4.0</f>
        <v>4.0</v>
      </c>
    </row>
    <row r="37">
      <c r="A37" s="3" t="s">
        <v>49</v>
      </c>
      <c r="B37" s="4" t="s">
        <v>58</v>
      </c>
      <c r="C37" s="4" t="s">
        <v>59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132.0</f>
        <v>132.0</v>
      </c>
    </row>
    <row r="38">
      <c r="A38" s="3" t="s">
        <v>49</v>
      </c>
      <c r="B38" s="4" t="s">
        <v>58</v>
      </c>
      <c r="C38" s="4" t="s">
        <v>59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12.0</f>
        <v>12.0</v>
      </c>
    </row>
    <row r="39">
      <c r="A39" s="3" t="s">
        <v>49</v>
      </c>
      <c r="B39" s="4" t="s">
        <v>60</v>
      </c>
      <c r="C39" s="4" t="s">
        <v>61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2.0</f>
        <v>2.0</v>
      </c>
    </row>
    <row r="40">
      <c r="A40" s="3" t="s">
        <v>49</v>
      </c>
      <c r="B40" s="4" t="s">
        <v>60</v>
      </c>
      <c r="C40" s="4" t="s">
        <v>61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2.0</f>
        <v>2.0</v>
      </c>
    </row>
    <row r="41">
      <c r="A41" s="3" t="s">
        <v>49</v>
      </c>
      <c r="B41" s="4" t="s">
        <v>62</v>
      </c>
      <c r="C41" s="4" t="s">
        <v>63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18.0</f>
        <v>18.0</v>
      </c>
    </row>
    <row r="42">
      <c r="A42" s="3" t="s">
        <v>49</v>
      </c>
      <c r="B42" s="4" t="s">
        <v>62</v>
      </c>
      <c r="C42" s="4" t="s">
        <v>63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6.0</f>
        <v>6.0</v>
      </c>
    </row>
    <row r="43">
      <c r="A43" s="3" t="s">
        <v>49</v>
      </c>
      <c r="B43" s="4" t="s">
        <v>64</v>
      </c>
      <c r="C43" s="4" t="s">
        <v>65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2.0</f>
        <v>2.0</v>
      </c>
    </row>
    <row r="44">
      <c r="A44" s="3" t="s">
        <v>49</v>
      </c>
      <c r="B44" s="4" t="s">
        <v>66</v>
      </c>
      <c r="C44" s="4" t="s">
        <v>67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70.0</f>
        <v>70.0</v>
      </c>
    </row>
    <row r="45">
      <c r="A45" s="3" t="s">
        <v>49</v>
      </c>
      <c r="B45" s="4" t="s">
        <v>66</v>
      </c>
      <c r="C45" s="4" t="s">
        <v>67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