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<sst xmlns="http://schemas.openxmlformats.org/spreadsheetml/2006/main" count="448" uniqueCount="110">
  <si>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</si>
  <si>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</si>
  <si>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</si>
  <si>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</si>
  <si>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</si>
  <si>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</si>
  <si>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</si>
  <si>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</si>
  <si>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</si>
  <si>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20261002</t>
  </si>
  <si>
    <t>NK225F</t>
  </si>
  <si>
    <t>161120018</t>
  </si>
  <si>
    <t>NIKKEI 225 FUT 2612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</si>
  <si>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</si>
  <si>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</si>
  <si>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</si>
  <si>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</si>
  <si>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</si>
  <si>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</si>
  <si>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</si>
  <si>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</si>
  <si>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</si>
  <si>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</si>
  <si>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</si>
  <si>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</si>
  <si>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</si>
  <si>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</si>
  <si>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</si>
  <si>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</si>
  <si>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</si>
  <si>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</si>
  <si>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</si>
  <si>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</si>
  <si>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</si>
  <si>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</si>
  <si>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</si>
  <si>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</si>
  <si>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</si>
  <si>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</si>
  <si>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</si>
  <si>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</si>
  <si>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</si>
  <si>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</si>
  <si>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</si>
  <si>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</si>
  <si>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</si>
  <si>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</si>
  <si>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</si>
  <si>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</si>
  <si>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</si>
  <si>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</si>
  <si>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</si>
  <si>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</si>
  <si>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</si>
  <si>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</si>
  <si>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</si>
  <si>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</si>
  <si>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</si>
  <si>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</si>
  <si>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</si>
  <si>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</si>
  <si>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</si>
  <si>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</si>
  <si>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</si>
  <si>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</si>
  <si>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</si>
  <si>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</si>
  <si>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12072</t>
  </si>
  <si>
    <t>東海東京証券</t>
  </si>
  <si>
    <t>Tokai Tokyo Securities</t>
  </si>
  <si>
    <t>13004</t>
  </si>
  <si>
    <t>サスケハナ・ホンコン</t>
  </si>
  <si>
    <t>Susquehanna Hong Kong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</si>
  <si>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</si>
  <si>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</si>
  <si>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</si>
  <si>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</si>
  <si>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</si>
  <si>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</si>
  <si>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</si>
  <si>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</si>
  <si>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</si>
  <si>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</si>
  <si>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</si>
  <si>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</si>
  <si>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</si>
  <si>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</si>
  <si>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</si>
  <si>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11272</t>
  </si>
  <si>
    <t>岡三証券</t>
  </si>
  <si>
    <t>OKASAN SECURITIES</t>
  </si>
  <si>
    <t>162030005</t>
  </si>
  <si>
    <t>TOPIX FUT 2703</t>
  </si>
  <si>
    <t>NK225E</t>
  </si>
  <si>
    <t>181227518</t>
  </si>
  <si>
    <t>NIKKEI 225 OOP P2610-67500</t>
  </si>
  <si>
    <t>131348018</t>
  </si>
  <si>
    <t>NIKKEI 225 OOP P2610-68000</t>
  </si>
  <si>
    <t>131228218</t>
  </si>
  <si>
    <t>NIKKEI 225 OOP P2610-68250</t>
  </si>
  <si>
    <t>141109118</t>
  </si>
  <si>
    <t>NIKKEI 225 OOP C2610-69125</t>
  </si>
  <si>
    <t>141349018</t>
  </si>
  <si>
    <t>NIKKEI 225 OOP C2610-69000</t>
  </si>
  <si>
    <t>141228718</t>
  </si>
  <si>
    <t>NIKKEI 225 OOP C2610-68750</t>
  </si>
  <si>
    <t>141228518</t>
  </si>
  <si>
    <t>NIKKEI 225 OOP C2610-68500</t>
  </si>
  <si>
    <t>141348018</t>
  </si>
  <si>
    <t>NIKKEI 225 OOP C2610-68000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</si>
</sst>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3220.0</f>
        <v>3220.0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2582.0</f>
        <v>2582.0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1904.0</f>
        <v>1904.0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1137.0</f>
        <v>1137.0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1052.0</f>
        <v>1052.0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780.0</f>
        <v>780.0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551.0</f>
        <v>551.0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496.0</f>
        <v>496.0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418.0</f>
        <v>418.0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415.0</f>
        <v>415.0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325.0</f>
        <v>325.0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267.0</f>
        <v>267.0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222.0</f>
        <v>222.0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192.0</f>
        <v>192.0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148.0</f>
        <v>148.0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147.0</f>
        <v>147.0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94.0</f>
        <v>94.0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91.0</f>
        <v>91.0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58.0</f>
        <v>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43.0</f>
        <v>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4.0</f>
        <v>4.0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31</v>
      </c>
      <c r="F30" s="4" t="s">
        <v>32</v>
      </c>
      <c r="G30" s="4" t="s">
        <v>33</v>
      </c>
      <c r="H30" s="5" t="n">
        <f>1986.0</f>
        <v>1986.0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52</v>
      </c>
      <c r="F31" s="4" t="s">
        <v>53</v>
      </c>
      <c r="G31" s="4" t="s">
        <v>54</v>
      </c>
      <c r="H31" s="5" t="n">
        <f>1114.0</f>
        <v>1114.0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58</v>
      </c>
      <c r="F32" s="4" t="s">
        <v>59</v>
      </c>
      <c r="G32" s="4" t="s">
        <v>60</v>
      </c>
      <c r="H32" s="5" t="n">
        <f>750.0</f>
        <v>750.0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16</v>
      </c>
      <c r="F33" s="4" t="s">
        <v>17</v>
      </c>
      <c r="G33" s="4" t="s">
        <v>18</v>
      </c>
      <c r="H33" s="5" t="n">
        <f>500.0</f>
        <v>500.0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25</v>
      </c>
      <c r="F34" s="4" t="s">
        <v>26</v>
      </c>
      <c r="G34" s="4" t="s">
        <v>27</v>
      </c>
      <c r="H34" s="5" t="n">
        <f>250.0</f>
        <v>250.0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61</v>
      </c>
      <c r="F35" s="4" t="s">
        <v>62</v>
      </c>
      <c r="G35" s="4" t="s">
        <v>63</v>
      </c>
      <c r="H35" s="5" t="n">
        <f>168.0</f>
        <v>168.0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31</v>
      </c>
      <c r="F36" s="4" t="s">
        <v>32</v>
      </c>
      <c r="G36" s="4" t="s">
        <v>33</v>
      </c>
      <c r="H36" s="5" t="n">
        <f>76.0</f>
        <v>76.0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52</v>
      </c>
      <c r="F37" s="4" t="s">
        <v>53</v>
      </c>
      <c r="G37" s="4" t="s">
        <v>54</v>
      </c>
      <c r="H37" s="5" t="n">
        <f>38.0</f>
        <v>38.0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61</v>
      </c>
      <c r="F38" s="4" t="s">
        <v>62</v>
      </c>
      <c r="G38" s="4" t="s">
        <v>63</v>
      </c>
      <c r="H38" s="5" t="n">
        <f>10.0</f>
        <v>10.0</v>
      </c>
    </row>
    <row r="39">
      <c r="A39" s="3" t="s">
        <v>75</v>
      </c>
      <c r="B39" s="4" t="s">
        <v>80</v>
      </c>
      <c r="C39" s="4" t="s">
        <v>81</v>
      </c>
      <c r="D39" s="3" t="n">
        <v>1.0</v>
      </c>
      <c r="E39" s="4" t="s">
        <v>31</v>
      </c>
      <c r="F39" s="4" t="s">
        <v>32</v>
      </c>
      <c r="G39" s="4" t="s">
        <v>33</v>
      </c>
      <c r="H39" s="5" t="n">
        <f>22113.0</f>
        <v>22113.0</v>
      </c>
    </row>
    <row r="40">
      <c r="A40" s="3" t="s">
        <v>75</v>
      </c>
      <c r="B40" s="4" t="s">
        <v>80</v>
      </c>
      <c r="C40" s="4" t="s">
        <v>81</v>
      </c>
      <c r="D40" s="3" t="n">
        <v>2.0</v>
      </c>
      <c r="E40" s="4" t="s">
        <v>52</v>
      </c>
      <c r="F40" s="4" t="s">
        <v>53</v>
      </c>
      <c r="G40" s="4" t="s">
        <v>54</v>
      </c>
      <c r="H40" s="5" t="n">
        <f>15732.0</f>
        <v>15732.0</v>
      </c>
    </row>
    <row r="41">
      <c r="A41" s="3" t="s">
        <v>75</v>
      </c>
      <c r="B41" s="4" t="s">
        <v>80</v>
      </c>
      <c r="C41" s="4" t="s">
        <v>81</v>
      </c>
      <c r="D41" s="3" t="n">
        <v>3.0</v>
      </c>
      <c r="E41" s="4" t="s">
        <v>61</v>
      </c>
      <c r="F41" s="4" t="s">
        <v>62</v>
      </c>
      <c r="G41" s="4" t="s">
        <v>63</v>
      </c>
      <c r="H41" s="5" t="n">
        <f>2624.0</f>
        <v>2624.0</v>
      </c>
    </row>
    <row r="42">
      <c r="A42" s="3" t="s">
        <v>75</v>
      </c>
      <c r="B42" s="4" t="s">
        <v>80</v>
      </c>
      <c r="C42" s="4" t="s">
        <v>81</v>
      </c>
      <c r="D42" s="3" t="n">
        <v>4.0</v>
      </c>
      <c r="E42" s="4" t="s">
        <v>13</v>
      </c>
      <c r="F42" s="4" t="s">
        <v>14</v>
      </c>
      <c r="G42" s="4" t="s">
        <v>15</v>
      </c>
      <c r="H42" s="5" t="n">
        <f>232.0</f>
        <v>232.0</v>
      </c>
    </row>
    <row r="43">
      <c r="A43" s="3" t="s">
        <v>75</v>
      </c>
      <c r="B43" s="4" t="s">
        <v>80</v>
      </c>
      <c r="C43" s="4" t="s">
        <v>81</v>
      </c>
      <c r="D43" s="3" t="n">
        <v>5.0</v>
      </c>
      <c r="E43" s="4" t="s">
        <v>49</v>
      </c>
      <c r="F43" s="4" t="s">
        <v>50</v>
      </c>
      <c r="G43" s="4" t="s">
        <v>51</v>
      </c>
      <c r="H43" s="5" t="n">
        <f>139.0</f>
        <v>139.0</v>
      </c>
    </row>
    <row r="44">
      <c r="A44" s="3" t="s">
        <v>75</v>
      </c>
      <c r="B44" s="4" t="s">
        <v>80</v>
      </c>
      <c r="C44" s="4" t="s">
        <v>81</v>
      </c>
      <c r="D44" s="3" t="n">
        <v>6.0</v>
      </c>
      <c r="E44" s="4" t="s">
        <v>40</v>
      </c>
      <c r="F44" s="4" t="s">
        <v>41</v>
      </c>
      <c r="G44" s="4" t="s">
        <v>42</v>
      </c>
      <c r="H44" s="5" t="n">
        <f>34.0</f>
        <v>34.0</v>
      </c>
    </row>
    <row r="45">
      <c r="A45" s="3" t="s">
        <v>75</v>
      </c>
      <c r="B45" s="4" t="s">
        <v>80</v>
      </c>
      <c r="C45" s="4" t="s">
        <v>81</v>
      </c>
      <c r="D45" s="3" t="n">
        <v>7.0</v>
      </c>
      <c r="E45" s="4" t="s">
        <v>67</v>
      </c>
      <c r="F45" s="4" t="s">
        <v>68</v>
      </c>
      <c r="G45" s="4" t="s">
        <v>69</v>
      </c>
      <c r="H45" s="5" t="n">
        <f>4.0</f>
        <v>4.0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40</v>
      </c>
      <c r="F46" s="4" t="s">
        <v>41</v>
      </c>
      <c r="G46" s="4" t="s">
        <v>42</v>
      </c>
      <c r="H46" s="5" t="n">
        <f>6448.0</f>
        <v>6448.0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85</v>
      </c>
      <c r="F47" s="4" t="s">
        <v>86</v>
      </c>
      <c r="G47" s="4" t="s">
        <v>87</v>
      </c>
      <c r="H47" s="5" t="n">
        <f>4804.0</f>
        <v>4804.0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58</v>
      </c>
      <c r="F48" s="4" t="s">
        <v>59</v>
      </c>
      <c r="G48" s="4" t="s">
        <v>60</v>
      </c>
      <c r="H48" s="5" t="n">
        <f>4724.0</f>
        <v>4724.0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19</v>
      </c>
      <c r="F49" s="4" t="s">
        <v>20</v>
      </c>
      <c r="G49" s="4" t="s">
        <v>21</v>
      </c>
      <c r="H49" s="5" t="n">
        <f>2835.0</f>
        <v>2835.0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28</v>
      </c>
      <c r="F50" s="4" t="s">
        <v>29</v>
      </c>
      <c r="G50" s="4" t="s">
        <v>30</v>
      </c>
      <c r="H50" s="5" t="n">
        <f>2238.0</f>
        <v>2238.0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49</v>
      </c>
      <c r="F51" s="4" t="s">
        <v>50</v>
      </c>
      <c r="G51" s="4" t="s">
        <v>51</v>
      </c>
      <c r="H51" s="5" t="n">
        <f>1503.0</f>
        <v>1503.0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46</v>
      </c>
      <c r="F52" s="4" t="s">
        <v>47</v>
      </c>
      <c r="G52" s="4" t="s">
        <v>48</v>
      </c>
      <c r="H52" s="5" t="n">
        <f>798.0</f>
        <v>798.0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43</v>
      </c>
      <c r="F53" s="4" t="s">
        <v>44</v>
      </c>
      <c r="G53" s="4" t="s">
        <v>45</v>
      </c>
      <c r="H53" s="5" t="n">
        <f>645.0</f>
        <v>645.0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13</v>
      </c>
      <c r="F54" s="4" t="s">
        <v>14</v>
      </c>
      <c r="G54" s="4" t="s">
        <v>15</v>
      </c>
      <c r="H54" s="5" t="n">
        <f>500.0</f>
        <v>500.0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88</v>
      </c>
      <c r="F55" s="4" t="s">
        <v>89</v>
      </c>
      <c r="G55" s="4" t="s">
        <v>90</v>
      </c>
      <c r="H55" s="5" t="n">
        <f>494.0</f>
        <v>494.0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34</v>
      </c>
      <c r="F56" s="4" t="s">
        <v>35</v>
      </c>
      <c r="G56" s="4" t="s">
        <v>36</v>
      </c>
      <c r="H56" s="5" t="n">
        <f>414.0</f>
        <v>414.0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16</v>
      </c>
      <c r="F57" s="4" t="s">
        <v>17</v>
      </c>
      <c r="G57" s="4" t="s">
        <v>18</v>
      </c>
      <c r="H57" s="5" t="n">
        <f>383.0</f>
        <v>383.0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25</v>
      </c>
      <c r="F58" s="4" t="s">
        <v>26</v>
      </c>
      <c r="G58" s="4" t="s">
        <v>27</v>
      </c>
      <c r="H58" s="5" t="n">
        <f>381.0</f>
        <v>381.0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22</v>
      </c>
      <c r="F59" s="4" t="s">
        <v>23</v>
      </c>
      <c r="G59" s="4" t="s">
        <v>24</v>
      </c>
      <c r="H59" s="5" t="n">
        <f>259.0</f>
        <v>259.0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55</v>
      </c>
      <c r="F60" s="4" t="s">
        <v>56</v>
      </c>
      <c r="G60" s="4" t="s">
        <v>57</v>
      </c>
      <c r="H60" s="5" t="n">
        <f>182.0</f>
        <v>182.0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31</v>
      </c>
      <c r="F61" s="4" t="s">
        <v>32</v>
      </c>
      <c r="G61" s="4" t="s">
        <v>33</v>
      </c>
      <c r="H61" s="5" t="n">
        <f>96.0</f>
        <v>96.0</v>
      </c>
    </row>
    <row r="62">
      <c r="A62" s="3" t="s">
        <v>82</v>
      </c>
      <c r="B62" s="4" t="s">
        <v>83</v>
      </c>
      <c r="C62" s="4" t="s">
        <v>84</v>
      </c>
      <c r="D62" s="3" t="n">
        <v>17.0</v>
      </c>
      <c r="E62" s="4" t="s">
        <v>61</v>
      </c>
      <c r="F62" s="4" t="s">
        <v>62</v>
      </c>
      <c r="G62" s="4" t="s">
        <v>63</v>
      </c>
      <c r="H62" s="5" t="n">
        <f>24.0</f>
        <v>24.0</v>
      </c>
    </row>
    <row r="63">
      <c r="A63" s="3" t="s">
        <v>82</v>
      </c>
      <c r="B63" s="4" t="s">
        <v>83</v>
      </c>
      <c r="C63" s="4" t="s">
        <v>84</v>
      </c>
      <c r="D63" s="3" t="n">
        <v>18.0</v>
      </c>
      <c r="E63" s="4" t="s">
        <v>37</v>
      </c>
      <c r="F63" s="4" t="s">
        <v>38</v>
      </c>
      <c r="G63" s="4" t="s">
        <v>39</v>
      </c>
      <c r="H63" s="5" t="n">
        <f>2.0</f>
        <v>2.0</v>
      </c>
    </row>
    <row r="64">
      <c r="A64" s="3" t="s">
        <v>82</v>
      </c>
      <c r="B64" s="4" t="s">
        <v>91</v>
      </c>
      <c r="C64" s="4" t="s">
        <v>92</v>
      </c>
      <c r="D64" s="3" t="n">
        <v>1.0</v>
      </c>
      <c r="E64" s="4" t="s">
        <v>40</v>
      </c>
      <c r="F64" s="4" t="s">
        <v>41</v>
      </c>
      <c r="G64" s="4" t="s">
        <v>42</v>
      </c>
      <c r="H64" s="5" t="n">
        <f>400.0</f>
        <v>400.0</v>
      </c>
    </row>
    <row r="65">
      <c r="A65" s="3" t="s">
        <v>82</v>
      </c>
      <c r="B65" s="4" t="s">
        <v>91</v>
      </c>
      <c r="C65" s="4" t="s">
        <v>92</v>
      </c>
      <c r="D65" s="3" t="n">
        <v>2.0</v>
      </c>
      <c r="E65" s="4" t="s">
        <v>19</v>
      </c>
      <c r="F65" s="4" t="s">
        <v>20</v>
      </c>
      <c r="G65" s="4" t="s">
        <v>21</v>
      </c>
      <c r="H65" s="5" t="n">
        <f>200.0</f>
        <v>200.0</v>
      </c>
    </row>
    <row r="66">
      <c r="A66" s="3" t="s">
        <v>82</v>
      </c>
      <c r="B66" s="4" t="s">
        <v>91</v>
      </c>
      <c r="C66" s="4" t="s">
        <v>92</v>
      </c>
      <c r="D66" s="3" t="n">
        <v>2.0</v>
      </c>
      <c r="E66" s="4" t="s">
        <v>22</v>
      </c>
      <c r="F66" s="4" t="s">
        <v>23</v>
      </c>
      <c r="G66" s="4" t="s">
        <v>24</v>
      </c>
      <c r="H66" s="5" t="n">
        <f>200.0</f>
        <v>200.0</v>
      </c>
    </row>
    <row r="67">
      <c r="A67" s="3" t="s">
        <v>93</v>
      </c>
      <c r="B67" s="4" t="s">
        <v>94</v>
      </c>
      <c r="C67" s="4" t="s">
        <v>95</v>
      </c>
      <c r="D67" s="3" t="n">
        <v>1.0</v>
      </c>
      <c r="E67" s="4" t="s">
        <v>31</v>
      </c>
      <c r="F67" s="4" t="s">
        <v>32</v>
      </c>
      <c r="G67" s="4" t="s">
        <v>33</v>
      </c>
      <c r="H67" s="5" t="n">
        <f>2.0</f>
        <v>2.0</v>
      </c>
    </row>
    <row r="68">
      <c r="A68" s="3" t="s">
        <v>93</v>
      </c>
      <c r="B68" s="4" t="s">
        <v>96</v>
      </c>
      <c r="C68" s="4" t="s">
        <v>97</v>
      </c>
      <c r="D68" s="3" t="n">
        <v>1.0</v>
      </c>
      <c r="E68" s="4" t="s">
        <v>31</v>
      </c>
      <c r="F68" s="4" t="s">
        <v>32</v>
      </c>
      <c r="G68" s="4" t="s">
        <v>33</v>
      </c>
      <c r="H68" s="5" t="n">
        <f>12.0</f>
        <v>12.0</v>
      </c>
    </row>
    <row r="69">
      <c r="A69" s="3" t="s">
        <v>93</v>
      </c>
      <c r="B69" s="4" t="s">
        <v>98</v>
      </c>
      <c r="C69" s="4" t="s">
        <v>99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200.0</f>
        <v>200.0</v>
      </c>
    </row>
    <row r="70">
      <c r="A70" s="3" t="s">
        <v>93</v>
      </c>
      <c r="B70" s="4" t="s">
        <v>98</v>
      </c>
      <c r="C70" s="4" t="s">
        <v>99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200.0</f>
        <v>200.0</v>
      </c>
    </row>
    <row r="71">
      <c r="A71" s="3" t="s">
        <v>93</v>
      </c>
      <c r="B71" s="4" t="s">
        <v>100</v>
      </c>
      <c r="C71" s="4" t="s">
        <v>101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2.0</f>
        <v>2.0</v>
      </c>
    </row>
    <row r="72">
      <c r="A72" s="3" t="s">
        <v>93</v>
      </c>
      <c r="B72" s="4" t="s">
        <v>102</v>
      </c>
      <c r="C72" s="4" t="s">
        <v>103</v>
      </c>
      <c r="D72" s="3" t="n">
        <v>1.0</v>
      </c>
      <c r="E72" s="4" t="s">
        <v>16</v>
      </c>
      <c r="F72" s="4" t="s">
        <v>17</v>
      </c>
      <c r="G72" s="4" t="s">
        <v>18</v>
      </c>
      <c r="H72" s="5" t="n">
        <f>350.0</f>
        <v>350.0</v>
      </c>
    </row>
    <row r="73">
      <c r="A73" s="3" t="s">
        <v>93</v>
      </c>
      <c r="B73" s="4" t="s">
        <v>102</v>
      </c>
      <c r="C73" s="4" t="s">
        <v>103</v>
      </c>
      <c r="D73" s="3" t="n">
        <v>2.0</v>
      </c>
      <c r="E73" s="4" t="s">
        <v>40</v>
      </c>
      <c r="F73" s="4" t="s">
        <v>41</v>
      </c>
      <c r="G73" s="4" t="s">
        <v>42</v>
      </c>
      <c r="H73" s="5" t="n">
        <f>300.0</f>
        <v>300.0</v>
      </c>
    </row>
    <row r="74">
      <c r="A74" s="3" t="s">
        <v>93</v>
      </c>
      <c r="B74" s="4" t="s">
        <v>102</v>
      </c>
      <c r="C74" s="4" t="s">
        <v>103</v>
      </c>
      <c r="D74" s="3" t="n">
        <v>3.0</v>
      </c>
      <c r="E74" s="4" t="s">
        <v>19</v>
      </c>
      <c r="F74" s="4" t="s">
        <v>20</v>
      </c>
      <c r="G74" s="4" t="s">
        <v>21</v>
      </c>
      <c r="H74" s="5" t="n">
        <f>150.0</f>
        <v>150.0</v>
      </c>
    </row>
    <row r="75">
      <c r="A75" s="3" t="s">
        <v>93</v>
      </c>
      <c r="B75" s="4" t="s">
        <v>102</v>
      </c>
      <c r="C75" s="4" t="s">
        <v>103</v>
      </c>
      <c r="D75" s="3" t="n">
        <v>3.0</v>
      </c>
      <c r="E75" s="4" t="s">
        <v>22</v>
      </c>
      <c r="F75" s="4" t="s">
        <v>23</v>
      </c>
      <c r="G75" s="4" t="s">
        <v>24</v>
      </c>
      <c r="H75" s="5" t="n">
        <f>150.0</f>
        <v>150.0</v>
      </c>
    </row>
    <row r="76">
      <c r="A76" s="3" t="s">
        <v>93</v>
      </c>
      <c r="B76" s="4" t="s">
        <v>102</v>
      </c>
      <c r="C76" s="4" t="s">
        <v>103</v>
      </c>
      <c r="D76" s="3" t="n">
        <v>5.0</v>
      </c>
      <c r="E76" s="4" t="s">
        <v>28</v>
      </c>
      <c r="F76" s="4" t="s">
        <v>29</v>
      </c>
      <c r="G76" s="4" t="s">
        <v>30</v>
      </c>
      <c r="H76" s="5" t="n">
        <f>50.0</f>
        <v>50.0</v>
      </c>
    </row>
    <row r="77">
      <c r="A77" s="3" t="s">
        <v>93</v>
      </c>
      <c r="B77" s="4" t="s">
        <v>102</v>
      </c>
      <c r="C77" s="4" t="s">
        <v>103</v>
      </c>
      <c r="D77" s="3" t="n">
        <v>6.0</v>
      </c>
      <c r="E77" s="4" t="s">
        <v>31</v>
      </c>
      <c r="F77" s="4" t="s">
        <v>32</v>
      </c>
      <c r="G77" s="4" t="s">
        <v>33</v>
      </c>
      <c r="H77" s="5" t="n">
        <f>8.0</f>
        <v>8.0</v>
      </c>
    </row>
    <row r="78">
      <c r="A78" s="3" t="s">
        <v>93</v>
      </c>
      <c r="B78" s="4" t="s">
        <v>102</v>
      </c>
      <c r="C78" s="4" t="s">
        <v>103</v>
      </c>
      <c r="D78" s="3" t="n">
        <v>7.0</v>
      </c>
      <c r="E78" s="4" t="s">
        <v>52</v>
      </c>
      <c r="F78" s="4" t="s">
        <v>53</v>
      </c>
      <c r="G78" s="4" t="s">
        <v>54</v>
      </c>
      <c r="H78" s="5" t="n">
        <f>2.0</f>
        <v>2.0</v>
      </c>
    </row>
    <row r="79">
      <c r="A79" s="3" t="s">
        <v>93</v>
      </c>
      <c r="B79" s="4" t="s">
        <v>104</v>
      </c>
      <c r="C79" s="4" t="s">
        <v>105</v>
      </c>
      <c r="D79" s="3" t="n">
        <v>1.0</v>
      </c>
      <c r="E79" s="4" t="s">
        <v>25</v>
      </c>
      <c r="F79" s="4" t="s">
        <v>26</v>
      </c>
      <c r="G79" s="4" t="s">
        <v>27</v>
      </c>
      <c r="H79" s="5" t="n">
        <f>218.0</f>
        <v>218.0</v>
      </c>
    </row>
    <row r="80">
      <c r="A80" s="3" t="s">
        <v>93</v>
      </c>
      <c r="B80" s="4" t="s">
        <v>106</v>
      </c>
      <c r="C80" s="4" t="s">
        <v>107</v>
      </c>
      <c r="D80" s="3" t="n">
        <v>1.0</v>
      </c>
      <c r="E80" s="4" t="s">
        <v>31</v>
      </c>
      <c r="F80" s="4" t="s">
        <v>32</v>
      </c>
      <c r="G80" s="4" t="s">
        <v>33</v>
      </c>
      <c r="H80" s="5" t="n">
        <f>2.0</f>
        <v>2.0</v>
      </c>
    </row>
    <row r="81">
      <c r="A81" s="3" t="s">
        <v>93</v>
      </c>
      <c r="B81" s="4" t="s">
        <v>108</v>
      </c>
      <c r="C81" s="4" t="s">
        <v>109</v>
      </c>
      <c r="D81" s="3" t="n">
        <v>1.0</v>
      </c>
      <c r="E81" s="4" t="s">
        <v>31</v>
      </c>
      <c r="F81" s="4" t="s">
        <v>32</v>
      </c>
      <c r="G81" s="4" t="s">
        <v>33</v>
      </c>
      <c r="H8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