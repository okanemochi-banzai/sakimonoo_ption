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<sst xmlns="http://schemas.openxmlformats.org/spreadsheetml/2006/main" count="528" uniqueCount="129">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</sst>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DATE(2026,04,14)</f>
        <v>46126.0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DATE(2026,04,14)</f>
        <v>46126.0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657497.0</f>
        <v>657497.0</v>
      </c>
      <c r="E12" s="18" t="n">
        <f>33535.0</f>
        <v>33535.0</v>
      </c>
      <c r="F12" s="19" t="n">
        <f>1.0</f>
        <v>1.0</v>
      </c>
      <c r="G12" s="17" t="n">
        <f>3915519004185.0</f>
        <v>3.915519004185E12</v>
      </c>
      <c r="H12" s="18" t="n">
        <f>217767413310.0</f>
        <v>2.1776741331E11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369622.0</f>
        <v>369622.0</v>
      </c>
      <c r="E13" s="22" t="n">
        <f>19161.0</f>
        <v>19161.0</v>
      </c>
      <c r="F13" s="23" t="n">
        <f>1.0</f>
        <v>1.0</v>
      </c>
      <c r="G13" s="21" t="n">
        <f>3816944553775.0</f>
        <v>3.816944553775E12</v>
      </c>
      <c r="H13" s="22" t="n">
        <f>288233673800.0</f>
        <v>2.882336738E11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293836.0</f>
        <v>293836.0</v>
      </c>
      <c r="E14" s="22" t="n">
        <f>23184.0</f>
        <v>23184.0</v>
      </c>
      <c r="F14" s="23" t="n">
        <f>1.0</f>
        <v>1.0</v>
      </c>
      <c r="G14" s="21" t="n">
        <f>4521327763669.0</f>
        <v>4.521327763669E12</v>
      </c>
      <c r="H14" s="22" t="n">
        <f>638836427469.0</f>
        <v>6.38836427469E11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1320955.0</f>
        <v>1320955.0</v>
      </c>
      <c r="E15" s="26" t="n">
        <f>75880.0</f>
        <v>75880.0</v>
      </c>
      <c r="F15" s="27" t="n">
        <f>1.0</f>
        <v>1.0</v>
      </c>
      <c r="G15" s="25" t="n">
        <f>12253791321629.0</f>
        <v>1.2253791321629E13</v>
      </c>
      <c r="H15" s="26" t="n">
        <f>1144837514579.0</f>
        <v>1.144837514579E12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9025.0</f>
        <v>9025.0</v>
      </c>
      <c r="E16" s="18" t="n">
        <f>10.0</f>
        <v>10.0</v>
      </c>
      <c r="F16" s="19" t="n">
        <f>0.014</f>
        <v>0.014</v>
      </c>
      <c r="G16" s="17" t="n">
        <f>1135547473125.0</f>
        <v>1.135547473125E12</v>
      </c>
      <c r="H16" s="18" t="n">
        <f>1296050000.0</f>
        <v>1.29605E9</v>
      </c>
      <c r="I16" s="19" t="n">
        <f>0.29</f>
        <v>0.29</v>
      </c>
    </row>
    <row r="17" spans="1:9" ht="24.9" customHeight="1">
      <c r="A17" s="41"/>
      <c r="B17" s="39"/>
      <c r="C17" s="20" t="s">
        <v>16</v>
      </c>
      <c r="D17" s="21" t="n">
        <f>13344.0</f>
        <v>13344.0</v>
      </c>
      <c r="E17" s="22" t="n">
        <f>1047.0</f>
        <v>1047.0</v>
      </c>
      <c r="F17" s="23" t="n">
        <f>0.036</f>
        <v>0.036</v>
      </c>
      <c r="G17" s="21" t="n">
        <f>1717511030625.0</f>
        <v>1.717511030625E12</v>
      </c>
      <c r="H17" s="22" t="n">
        <f>135835490000.0</f>
        <v>1.3583549E11</v>
      </c>
      <c r="I17" s="23" t="n">
        <f>0.45</f>
        <v>0.45</v>
      </c>
    </row>
    <row r="18" spans="1:9" ht="24.9" customHeight="1">
      <c r="A18" s="41"/>
      <c r="B18" s="39"/>
      <c r="C18" s="20" t="s">
        <v>17</v>
      </c>
      <c r="D18" s="21" t="n">
        <f>16205.0</f>
        <v>16205.0</v>
      </c>
      <c r="E18" s="22" t="n">
        <f>1180.0</f>
        <v>1180.0</v>
      </c>
      <c r="F18" s="23" t="n">
        <f>0.055</f>
        <v>0.055</v>
      </c>
      <c r="G18" s="21" t="n">
        <f>2040405576750.0</f>
        <v>2.04040557675E12</v>
      </c>
      <c r="H18" s="22" t="n">
        <f>102311039000.0</f>
        <v>1.02311039E11</v>
      </c>
      <c r="I18" s="23" t="n">
        <f>0.451</f>
        <v>0.451</v>
      </c>
    </row>
    <row r="19" spans="1:9" ht="24.9" customHeight="1">
      <c r="A19" s="41"/>
      <c r="B19" s="39"/>
      <c r="C19" s="24" t="s">
        <v>18</v>
      </c>
      <c r="D19" s="25" t="n">
        <f>38574.0</f>
        <v>38574.0</v>
      </c>
      <c r="E19" s="26" t="n">
        <f>2237.0</f>
        <v>2237.0</v>
      </c>
      <c r="F19" s="27" t="n">
        <f>0.029</f>
        <v>0.029</v>
      </c>
      <c r="G19" s="25" t="n">
        <f>4893464080500.0</f>
        <v>4.8934640805E12</v>
      </c>
      <c r="H19" s="26" t="n">
        <f>239442579000.0</f>
        <v>2.39442579E11</v>
      </c>
      <c r="I19" s="27" t="n">
        <f>0.399</f>
        <v>0.399</v>
      </c>
    </row>
    <row r="20" spans="1:9" ht="24.9" customHeight="1">
      <c r="A20" s="41"/>
      <c r="B20" s="39" t="s">
        <v>21</v>
      </c>
      <c r="C20" s="16" t="s">
        <v>15</v>
      </c>
      <c r="D20" s="17" t="n">
        <f>634667.0</f>
        <v>634667.0</v>
      </c>
      <c r="E20" s="18" t="n">
        <f>33525.0</f>
        <v>33525.0</v>
      </c>
      <c r="F20" s="19" t="n">
        <f>0.965</f>
        <v>0.965</v>
      </c>
      <c r="G20" s="17" t="n">
        <f>2649755147810.0</f>
        <v>2.64975514781E12</v>
      </c>
      <c r="H20" s="18" t="n">
        <f>216471363310.0</f>
        <v>2.1647136331E11</v>
      </c>
      <c r="I20" s="19" t="n">
        <f>0.677</f>
        <v>0.677</v>
      </c>
    </row>
    <row r="21" spans="1:9" ht="24.9" customHeight="1">
      <c r="A21" s="41"/>
      <c r="B21" s="39"/>
      <c r="C21" s="20" t="s">
        <v>16</v>
      </c>
      <c r="D21" s="21" t="n">
        <f>347276.0</f>
        <v>347276.0</v>
      </c>
      <c r="E21" s="22" t="n">
        <f>18114.0</f>
        <v>18114.0</v>
      </c>
      <c r="F21" s="23" t="n">
        <f>0.94</f>
        <v>0.94</v>
      </c>
      <c r="G21" s="21" t="n">
        <f>2014168193000.0</f>
        <v>2.014168193E12</v>
      </c>
      <c r="H21" s="22" t="n">
        <f>152398183800.0</f>
        <v>1.523981838E11</v>
      </c>
      <c r="I21" s="23" t="n">
        <f>0.528</f>
        <v>0.528</v>
      </c>
    </row>
    <row r="22" spans="1:9" ht="24.9" customHeight="1">
      <c r="A22" s="41"/>
      <c r="B22" s="39"/>
      <c r="C22" s="20" t="s">
        <v>17</v>
      </c>
      <c r="D22" s="21" t="n">
        <f>270768.0</f>
        <v>270768.0</v>
      </c>
      <c r="E22" s="22" t="n">
        <f>21974.0</f>
        <v>21974.0</v>
      </c>
      <c r="F22" s="23" t="n">
        <f>0.921</f>
        <v>0.921</v>
      </c>
      <c r="G22" s="21" t="n">
        <f>2433795514769.0</f>
        <v>2.433795514769E12</v>
      </c>
      <c r="H22" s="22" t="n">
        <f>536490576769.0</f>
        <v>5.36490576769E11</v>
      </c>
      <c r="I22" s="23" t="n">
        <f>0.538</f>
        <v>0.538</v>
      </c>
    </row>
    <row r="23" spans="1:9" ht="24.9" customHeight="1">
      <c r="A23" s="41"/>
      <c r="B23" s="39"/>
      <c r="C23" s="24" t="s">
        <v>18</v>
      </c>
      <c r="D23" s="25" t="n">
        <f>1252711.0</f>
        <v>1252711.0</v>
      </c>
      <c r="E23" s="26" t="n">
        <f>73613.0</f>
        <v>73613.0</v>
      </c>
      <c r="F23" s="27" t="n">
        <f>0.948</f>
        <v>0.948</v>
      </c>
      <c r="G23" s="25" t="n">
        <f>7097718855579.0</f>
        <v>7.097718855579E12</v>
      </c>
      <c r="H23" s="26" t="n">
        <f>905360123879.0</f>
        <v>9.05360123879E11</v>
      </c>
      <c r="I23" s="27" t="n">
        <f>0.579</f>
        <v>0.579</v>
      </c>
    </row>
    <row r="24" spans="1:9" ht="24.9" customHeight="1">
      <c r="A24" s="41"/>
      <c r="B24" s="39" t="s">
        <v>22</v>
      </c>
      <c r="C24" s="16" t="s">
        <v>15</v>
      </c>
      <c r="D24" s="17" t="n">
        <f>13288.0</f>
        <v>13288.0</v>
      </c>
      <c r="E24" s="18" t="n">
        <f>0.0</f>
        <v>0.0</v>
      </c>
      <c r="F24" s="19" t="n">
        <f>0.02</f>
        <v>0.02</v>
      </c>
      <c r="G24" s="17" t="n">
        <f>128010495250.0</f>
        <v>1.2801049525E11</v>
      </c>
      <c r="H24" s="18" t="n">
        <f>0.0</f>
        <v>0.0</v>
      </c>
      <c r="I24" s="19" t="n">
        <f>0.033</f>
        <v>0.033</v>
      </c>
    </row>
    <row r="25" spans="1:9" ht="24.9" customHeight="1">
      <c r="A25" s="41"/>
      <c r="B25" s="39"/>
      <c r="C25" s="20" t="s">
        <v>16</v>
      </c>
      <c r="D25" s="21" t="n">
        <f>8798.0</f>
        <v>8798.0</v>
      </c>
      <c r="E25" s="22" t="n">
        <f>0.0</f>
        <v>0.0</v>
      </c>
      <c r="F25" s="23" t="n">
        <f>0.024</f>
        <v>0.024</v>
      </c>
      <c r="G25" s="21" t="n">
        <f>84415651650.0</f>
        <v>8.441565165E10</v>
      </c>
      <c r="H25" s="22" t="n">
        <f>0.0</f>
        <v>0.0</v>
      </c>
      <c r="I25" s="23" t="n">
        <f>0.022</f>
        <v>0.022</v>
      </c>
    </row>
    <row r="26" spans="1:9" ht="24.9" customHeight="1">
      <c r="A26" s="41"/>
      <c r="B26" s="39"/>
      <c r="C26" s="20" t="s">
        <v>17</v>
      </c>
      <c r="D26" s="21" t="n">
        <f>5819.0</f>
        <v>5819.0</v>
      </c>
      <c r="E26" s="22" t="n">
        <f>0.0</f>
        <v>0.0</v>
      </c>
      <c r="F26" s="23" t="n">
        <f>0.02</f>
        <v>0.02</v>
      </c>
      <c r="G26" s="21" t="n">
        <f>42781662950.0</f>
        <v>4.278166295E10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27905.0</f>
        <v>27905.0</v>
      </c>
      <c r="E27" s="26" t="n">
        <f>0.0</f>
        <v>0.0</v>
      </c>
      <c r="F27" s="27" t="n">
        <f>0.021</f>
        <v>0.021</v>
      </c>
      <c r="G27" s="25" t="n">
        <f>255207809850.0</f>
        <v>2.5520780985E11</v>
      </c>
      <c r="H27" s="26" t="n">
        <f>0.0</f>
        <v>0.0</v>
      </c>
      <c r="I27" s="27" t="n">
        <f>0.021</f>
        <v>0.021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517.0</f>
        <v>517.0</v>
      </c>
      <c r="E28" s="18" t="n">
        <f>0.0</f>
        <v>0.0</v>
      </c>
      <c r="F28" s="19" t="n">
        <f>0.001</f>
        <v>0.001</v>
      </c>
      <c r="G28" s="17" t="n">
        <f>2205888000.0</f>
        <v>2.205888E9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204.0</f>
        <v>204.0</v>
      </c>
      <c r="E29" s="22" t="n">
        <f>0.0</f>
        <v>0.0</v>
      </c>
      <c r="F29" s="23" t="n">
        <f>0.001</f>
        <v>0.001</v>
      </c>
      <c r="G29" s="21" t="n">
        <f>849678500.0</f>
        <v>8.496785E8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1044.0</f>
        <v>1044.0</v>
      </c>
      <c r="E30" s="22" t="n">
        <f>30.0</f>
        <v>30.0</v>
      </c>
      <c r="F30" s="23" t="n">
        <f>0.004</f>
        <v>0.004</v>
      </c>
      <c r="G30" s="21" t="n">
        <f>4345009200.0</f>
        <v>4.3450092E9</v>
      </c>
      <c r="H30" s="22" t="n">
        <f>34811700.0</f>
        <v>3.48117E7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1765.0</f>
        <v>1765.0</v>
      </c>
      <c r="E31" s="26" t="n">
        <f>30.0</f>
        <v>30.0</v>
      </c>
      <c r="F31" s="27" t="n">
        <f>0.001</f>
        <v>0.001</v>
      </c>
      <c r="G31" s="25" t="n">
        <f>7400575700.0</f>
        <v>7.4005757E9</v>
      </c>
      <c r="H31" s="26" t="n">
        <f>34811700.0</f>
        <v>3.48117E7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46126.0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46126.0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21105</f>
        <v>21105.0</v>
      </c>
      <c r="E11" s="18" t="n">
        <f>2262</f>
        <v>2262.0</v>
      </c>
      <c r="F11" s="19" t="n">
        <f>1</f>
        <v>1.0</v>
      </c>
      <c r="G11" s="17" t="n">
        <f>2310076750</f>
        <v>2.31007675E9</v>
      </c>
      <c r="H11" s="18" t="n">
        <f>703366550</f>
        <v>7.0336655E8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40166</f>
        <v>40166.0</v>
      </c>
      <c r="E12" s="22" t="n">
        <f>8989</f>
        <v>8989.0</v>
      </c>
      <c r="F12" s="23" t="n">
        <f>1</f>
        <v>1.0</v>
      </c>
      <c r="G12" s="21" t="n">
        <f>6901657922</f>
        <v>6.901657922E9</v>
      </c>
      <c r="H12" s="22" t="n">
        <f>4502403310</f>
        <v>4.50240331E9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47661</f>
        <v>47661.0</v>
      </c>
      <c r="E13" s="22" t="n">
        <f>25074</f>
        <v>25074.0</v>
      </c>
      <c r="F13" s="23" t="n">
        <f>1</f>
        <v>1.0</v>
      </c>
      <c r="G13" s="21" t="n">
        <f>26891894519</f>
        <v>2.6891894519E10</v>
      </c>
      <c r="H13" s="22" t="n">
        <f>23890261134</f>
        <v>2.3890261134E10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108932</f>
        <v>108932.0</v>
      </c>
      <c r="E14" s="26" t="n">
        <f>36325</f>
        <v>36325.0</v>
      </c>
      <c r="F14" s="27" t="n">
        <f>1</f>
        <v>1.0</v>
      </c>
      <c r="G14" s="25" t="n">
        <f>36103629191</f>
        <v>3.6103629191E10</v>
      </c>
      <c r="H14" s="26" t="n">
        <f>29096030994</f>
        <v>2.9096030994E10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36</f>
        <v>36.0</v>
      </c>
      <c r="E16" s="22" t="n">
        <f>0</f>
        <v>0.0</v>
      </c>
      <c r="F16" s="23" t="n">
        <f>0.001</f>
        <v>0.001</v>
      </c>
      <c r="G16" s="21" t="n">
        <f>5800000</f>
        <v>5800000.0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21</f>
        <v>21.0</v>
      </c>
      <c r="E17" s="22" t="n">
        <f>0</f>
        <v>0.0</v>
      </c>
      <c r="F17" s="23" t="n">
        <f>0</f>
        <v>0.0</v>
      </c>
      <c r="G17" s="21" t="n">
        <f>5760000</f>
        <v>5760000.0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57</f>
        <v>57.0</v>
      </c>
      <c r="E18" s="26" t="n">
        <f>0</f>
        <v>0.0</v>
      </c>
      <c r="F18" s="27" t="n">
        <f>0.001</f>
        <v>0.001</v>
      </c>
      <c r="G18" s="25" t="n">
        <f>11560000</f>
        <v>1.156E7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21105</f>
        <v>21105.0</v>
      </c>
      <c r="E19" s="18" t="n">
        <f>2262</f>
        <v>2262.0</v>
      </c>
      <c r="F19" s="19" t="n">
        <f>1</f>
        <v>1.0</v>
      </c>
      <c r="G19" s="17" t="n">
        <f>2310076750</f>
        <v>2.31007675E9</v>
      </c>
      <c r="H19" s="18" t="n">
        <f>703366550</f>
        <v>7.0336655E8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31883</f>
        <v>31883.0</v>
      </c>
      <c r="E20" s="22" t="n">
        <f>8989</f>
        <v>8989.0</v>
      </c>
      <c r="F20" s="23" t="n">
        <f>0.794</f>
        <v>0.794</v>
      </c>
      <c r="G20" s="21" t="n">
        <f>6824062410</f>
        <v>6.82406241E9</v>
      </c>
      <c r="H20" s="22" t="n">
        <f>4502403310</f>
        <v>4.50240331E9</v>
      </c>
      <c r="I20" s="23" t="n">
        <f>0.989</f>
        <v>0.989</v>
      </c>
    </row>
    <row r="21" spans="1:9" ht="24.9" customHeight="1">
      <c r="A21" s="41"/>
      <c r="B21" s="39"/>
      <c r="C21" s="20" t="s">
        <v>17</v>
      </c>
      <c r="D21" s="21" t="n">
        <f>45866</f>
        <v>45866.0</v>
      </c>
      <c r="E21" s="22" t="n">
        <f>24574</f>
        <v>24574.0</v>
      </c>
      <c r="F21" s="23" t="n">
        <f>0.962</f>
        <v>0.962</v>
      </c>
      <c r="G21" s="21" t="n">
        <f>26790253334</f>
        <v>2.6790253334E10</v>
      </c>
      <c r="H21" s="22" t="n">
        <f>23873711134</f>
        <v>2.3873711134E10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98854</f>
        <v>98854.0</v>
      </c>
      <c r="E22" s="26" t="n">
        <f>35825</f>
        <v>35825.0</v>
      </c>
      <c r="F22" s="27" t="n">
        <f>0.907</f>
        <v>0.907</v>
      </c>
      <c r="G22" s="25" t="n">
        <f>35924392494</f>
        <v>3.5924392494E10</v>
      </c>
      <c r="H22" s="26" t="n">
        <f>29079480994</f>
        <v>2.9079480994E10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8247</f>
        <v>8247.0</v>
      </c>
      <c r="E24" s="22" t="n">
        <f>0</f>
        <v>0.0</v>
      </c>
      <c r="F24" s="23" t="n">
        <f>0.205</f>
        <v>0.205</v>
      </c>
      <c r="G24" s="21" t="n">
        <f>71795512</f>
        <v>7.1795512E7</v>
      </c>
      <c r="H24" s="22" t="n">
        <f>0</f>
        <v>0.0</v>
      </c>
      <c r="I24" s="23" t="n">
        <f>0.01</f>
        <v>0.01</v>
      </c>
    </row>
    <row r="25" spans="1:9" ht="24.9" customHeight="1">
      <c r="A25" s="41"/>
      <c r="B25" s="39"/>
      <c r="C25" s="20" t="s">
        <v>17</v>
      </c>
      <c r="D25" s="21" t="n">
        <f>1774</f>
        <v>1774.0</v>
      </c>
      <c r="E25" s="22" t="n">
        <f>500</f>
        <v>500.0</v>
      </c>
      <c r="F25" s="23" t="n">
        <f>0.037</f>
        <v>0.037</v>
      </c>
      <c r="G25" s="21" t="n">
        <f>95881185</f>
        <v>9.5881185E7</v>
      </c>
      <c r="H25" s="22" t="n">
        <f>16550000</f>
        <v>1.655E7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10021</f>
        <v>10021.0</v>
      </c>
      <c r="E26" s="26" t="n">
        <f>500</f>
        <v>500.0</v>
      </c>
      <c r="F26" s="27" t="n">
        <f>0.092</f>
        <v>0.092</v>
      </c>
      <c r="G26" s="25" t="n">
        <f>167676697</f>
        <v>1.67676697E8</v>
      </c>
      <c r="H26" s="26" t="n">
        <f>16550000</f>
        <v>1.655E7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46126.0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46126.0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9333.0</v>
      </c>
      <c r="F12" s="18" t="n">
        <f>494</f>
        <v>494.0</v>
      </c>
      <c r="G12" s="17" t="n">
        <v>5.3179267876E11</v>
      </c>
      <c r="H12" s="18" t="n">
        <f>28127154760</f>
        <v>2.812715476E10</v>
      </c>
    </row>
    <row r="13" spans="1:8" ht="24.9" customHeight="1">
      <c r="A13" s="51"/>
      <c r="B13" s="57"/>
      <c r="C13" s="39"/>
      <c r="D13" s="20" t="s">
        <v>16</v>
      </c>
      <c r="E13" s="21" t="n">
        <v>11048.0</v>
      </c>
      <c r="F13" s="22" t="n">
        <f>886</f>
        <v>886.0</v>
      </c>
      <c r="G13" s="21" t="n">
        <v>6.388076334E11</v>
      </c>
      <c r="H13" s="22" t="n">
        <f>51283420400</f>
        <v>5.12834204E10</v>
      </c>
    </row>
    <row r="14" spans="1:8" ht="24.9" customHeight="1">
      <c r="A14" s="51"/>
      <c r="B14" s="57"/>
      <c r="C14" s="39"/>
      <c r="D14" s="20" t="s">
        <v>17</v>
      </c>
      <c r="E14" s="21" t="n">
        <v>14048.0</v>
      </c>
      <c r="F14" s="22" t="n">
        <f>4836</f>
        <v>4836.0</v>
      </c>
      <c r="G14" s="21" t="n">
        <v>8.142632267E11</v>
      </c>
      <c r="H14" s="22" t="n">
        <f>280365802700</f>
        <v>2.803658027E11</v>
      </c>
    </row>
    <row r="15" spans="1:8" ht="24.9" customHeight="1">
      <c r="A15" s="51"/>
      <c r="B15" s="57"/>
      <c r="C15" s="39"/>
      <c r="D15" s="24" t="s">
        <v>18</v>
      </c>
      <c r="E15" s="25" t="n">
        <v>34429.0</v>
      </c>
      <c r="F15" s="26" t="n">
        <f>6216</f>
        <v>6216.0</v>
      </c>
      <c r="G15" s="25" t="n">
        <v>1.98486353886E12</v>
      </c>
      <c r="H15" s="26" t="n">
        <f>359776377860</f>
        <v>3.5977637786E11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215908.0</v>
      </c>
      <c r="F16" s="18" t="n">
        <f>32543</f>
        <v>32543.0</v>
      </c>
      <c r="G16" s="17" t="n">
        <v>1.22966707185E12</v>
      </c>
      <c r="H16" s="18" t="n">
        <f>185207089850</f>
        <v>1.8520708985E11</v>
      </c>
    </row>
    <row r="17" spans="1:8" ht="24.9" customHeight="1">
      <c r="A17" s="51"/>
      <c r="B17" s="57"/>
      <c r="C17" s="39"/>
      <c r="D17" s="20" t="s">
        <v>16</v>
      </c>
      <c r="E17" s="21" t="n">
        <v>138708.0</v>
      </c>
      <c r="F17" s="22" t="n">
        <f>16763</f>
        <v>16763.0</v>
      </c>
      <c r="G17" s="21" t="n">
        <v>8.0185966975E11</v>
      </c>
      <c r="H17" s="22" t="n">
        <f>96953518250</f>
        <v>9.695351825E10</v>
      </c>
    </row>
    <row r="18" spans="1:8" ht="24.9" customHeight="1">
      <c r="A18" s="51"/>
      <c r="B18" s="57"/>
      <c r="C18" s="39"/>
      <c r="D18" s="20" t="s">
        <v>17</v>
      </c>
      <c r="E18" s="21" t="n">
        <v>103763.0</v>
      </c>
      <c r="F18" s="22" t="n">
        <f>11624</f>
        <v>11624.0</v>
      </c>
      <c r="G18" s="21" t="n">
        <v>6.0125558674E11</v>
      </c>
      <c r="H18" s="22" t="n">
        <f>67355591740</f>
        <v>6.735559174E10</v>
      </c>
    </row>
    <row r="19" spans="1:8" ht="24.9" customHeight="1">
      <c r="A19" s="51"/>
      <c r="B19" s="57"/>
      <c r="C19" s="39"/>
      <c r="D19" s="24" t="s">
        <v>18</v>
      </c>
      <c r="E19" s="25" t="n">
        <v>458379.0</v>
      </c>
      <c r="F19" s="26" t="n">
        <f>60930</f>
        <v>60930.0</v>
      </c>
      <c r="G19" s="25" t="n">
        <v>2.63278232834E12</v>
      </c>
      <c r="H19" s="26" t="n">
        <f>349516199840</f>
        <v>3.4951619984E11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384019.0</v>
      </c>
      <c r="F20" s="18" t="str">
        <f>"－"</f>
        <v>－</v>
      </c>
      <c r="G20" s="17" t="n">
        <v>2.186926798E11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179375.0</v>
      </c>
      <c r="F21" s="22" t="str">
        <f>"－"</f>
        <v>－</v>
      </c>
      <c r="G21" s="21" t="n">
        <v>1.037222968E11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120414.0</v>
      </c>
      <c r="F22" s="22" t="str">
        <f>"－"</f>
        <v>－</v>
      </c>
      <c r="G22" s="21" t="n">
        <v>6.97738239E10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683808.0</v>
      </c>
      <c r="F23" s="26" t="str">
        <f>"－"</f>
        <v>－</v>
      </c>
      <c r="G23" s="25" t="n">
        <v>3.921888005E11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17112.0</v>
      </c>
      <c r="F24" s="18" t="n">
        <f>41</f>
        <v>41.0</v>
      </c>
      <c r="G24" s="17" t="n">
        <v>6.41086872E11</v>
      </c>
      <c r="H24" s="18" t="n">
        <f>1535032000</f>
        <v>1.535032E9</v>
      </c>
    </row>
    <row r="25" spans="1:8" ht="24.9" customHeight="1">
      <c r="A25" s="51"/>
      <c r="B25" s="57"/>
      <c r="C25" s="39"/>
      <c r="D25" s="20" t="s">
        <v>16</v>
      </c>
      <c r="E25" s="21" t="n">
        <v>11928.0</v>
      </c>
      <c r="F25" s="22" t="n">
        <f>79</f>
        <v>79.0</v>
      </c>
      <c r="G25" s="21" t="n">
        <v>4.49852063E11</v>
      </c>
      <c r="H25" s="22" t="n">
        <f>2973028000</f>
        <v>2.973028E9</v>
      </c>
    </row>
    <row r="26" spans="1:8" ht="24.9" customHeight="1">
      <c r="A26" s="51"/>
      <c r="B26" s="57"/>
      <c r="C26" s="39"/>
      <c r="D26" s="20" t="s">
        <v>17</v>
      </c>
      <c r="E26" s="21" t="n">
        <v>24511.0</v>
      </c>
      <c r="F26" s="22" t="n">
        <f>4956</f>
        <v>4956.0</v>
      </c>
      <c r="G26" s="21" t="n">
        <v>9.220022425E11</v>
      </c>
      <c r="H26" s="22" t="n">
        <f>186525947500</f>
        <v>1.865259475E11</v>
      </c>
    </row>
    <row r="27" spans="1:8" ht="24.9" customHeight="1">
      <c r="A27" s="51"/>
      <c r="B27" s="57"/>
      <c r="C27" s="39"/>
      <c r="D27" s="24" t="s">
        <v>18</v>
      </c>
      <c r="E27" s="25" t="n">
        <v>53551.0</v>
      </c>
      <c r="F27" s="26" t="n">
        <f>5076</f>
        <v>5076.0</v>
      </c>
      <c r="G27" s="25" t="n">
        <v>2.0129411775E12</v>
      </c>
      <c r="H27" s="26" t="n">
        <f>191034007500</f>
        <v>1.910340075E11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6980.0</v>
      </c>
      <c r="F28" s="18" t="n">
        <f>414</f>
        <v>414.0</v>
      </c>
      <c r="G28" s="17" t="n">
        <v>2.613644805E10</v>
      </c>
      <c r="H28" s="18" t="n">
        <f>1550876050</f>
        <v>1.55087605E9</v>
      </c>
    </row>
    <row r="29" spans="1:8" ht="24.9" customHeight="1">
      <c r="A29" s="51"/>
      <c r="B29" s="57"/>
      <c r="C29" s="39"/>
      <c r="D29" s="20" t="s">
        <v>16</v>
      </c>
      <c r="E29" s="21" t="n">
        <v>4245.0</v>
      </c>
      <c r="F29" s="22" t="n">
        <f>246</f>
        <v>246.0</v>
      </c>
      <c r="G29" s="21" t="n">
        <v>1.600975445E10</v>
      </c>
      <c r="H29" s="22" t="n">
        <f>927813950</f>
        <v>9.2781395E8</v>
      </c>
    </row>
    <row r="30" spans="1:8" ht="24.9" customHeight="1">
      <c r="A30" s="51"/>
      <c r="B30" s="57"/>
      <c r="C30" s="39"/>
      <c r="D30" s="20" t="s">
        <v>17</v>
      </c>
      <c r="E30" s="21" t="n">
        <v>5273.0</v>
      </c>
      <c r="F30" s="22" t="n">
        <f>118</f>
        <v>118.0</v>
      </c>
      <c r="G30" s="21" t="n">
        <v>1.983342935E10</v>
      </c>
      <c r="H30" s="22" t="n">
        <f>443825850</f>
        <v>4.4382585E8</v>
      </c>
    </row>
    <row r="31" spans="1:8" ht="24.9" customHeight="1">
      <c r="A31" s="51"/>
      <c r="B31" s="57"/>
      <c r="C31" s="39"/>
      <c r="D31" s="24" t="s">
        <v>18</v>
      </c>
      <c r="E31" s="25" t="n">
        <v>16498.0</v>
      </c>
      <c r="F31" s="26" t="n">
        <f>778</f>
        <v>778.0</v>
      </c>
      <c r="G31" s="25" t="n">
        <v>6.197963185E10</v>
      </c>
      <c r="H31" s="26" t="n">
        <f>2922515850</f>
        <v>2.92251585E9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441.0</v>
      </c>
      <c r="F36" s="18" t="n">
        <f>0</f>
        <v>0.0</v>
      </c>
      <c r="G36" s="17" t="n">
        <v>1.494173E9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755.0</v>
      </c>
      <c r="F37" s="22" t="n">
        <f>2</f>
        <v>2.0</v>
      </c>
      <c r="G37" s="21" t="n">
        <v>2.576736E9</v>
      </c>
      <c r="H37" s="22" t="n">
        <f>6831500</f>
        <v>6831500.0</v>
      </c>
    </row>
    <row r="38" spans="1:8" ht="24.9" customHeight="1">
      <c r="A38" s="51"/>
      <c r="B38" s="57"/>
      <c r="C38" s="39"/>
      <c r="D38" s="20" t="s">
        <v>17</v>
      </c>
      <c r="E38" s="21" t="n">
        <v>1076.0</v>
      </c>
      <c r="F38" s="22" t="n">
        <f>4</f>
        <v>4.0</v>
      </c>
      <c r="G38" s="21" t="n">
        <v>3.66439599E9</v>
      </c>
      <c r="H38" s="22" t="n">
        <f>13638990</f>
        <v>1.363899E7</v>
      </c>
    </row>
    <row r="39" spans="1:8" ht="24.9" customHeight="1">
      <c r="A39" s="51"/>
      <c r="B39" s="57"/>
      <c r="C39" s="39"/>
      <c r="D39" s="24" t="s">
        <v>18</v>
      </c>
      <c r="E39" s="25" t="n">
        <v>2272.0</v>
      </c>
      <c r="F39" s="26" t="n">
        <f>6</f>
        <v>6.0</v>
      </c>
      <c r="G39" s="25" t="n">
        <v>7.73530499E9</v>
      </c>
      <c r="H39" s="26" t="n">
        <f>20470490</f>
        <v>2.047049E7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3.0</v>
      </c>
      <c r="F45" s="22" t="n">
        <f>0</f>
        <v>0.0</v>
      </c>
      <c r="G45" s="21" t="n">
        <v>1.8219E7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240.0</v>
      </c>
      <c r="F46" s="22" t="n">
        <f>240</f>
        <v>240.0</v>
      </c>
      <c r="G46" s="21" t="n">
        <v>1.4604E9</v>
      </c>
      <c r="H46" s="22" t="n">
        <f>1460400000</f>
        <v>1.4604E9</v>
      </c>
    </row>
    <row r="47" spans="1:8" ht="24.9" customHeight="1">
      <c r="A47" s="51"/>
      <c r="B47" s="57"/>
      <c r="C47" s="39"/>
      <c r="D47" s="24" t="s">
        <v>18</v>
      </c>
      <c r="E47" s="25" t="n">
        <v>243.0</v>
      </c>
      <c r="F47" s="26" t="n">
        <f>240</f>
        <v>240.0</v>
      </c>
      <c r="G47" s="25" t="n">
        <v>1.478619E9</v>
      </c>
      <c r="H47" s="26" t="n">
        <f>1460400000</f>
        <v>1.4604E9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23.0</v>
      </c>
      <c r="F48" s="18" t="n">
        <f>23</f>
        <v>23.0</v>
      </c>
      <c r="G48" s="17" t="n">
        <v>4.383365E7</v>
      </c>
      <c r="H48" s="18" t="n">
        <f>43833650</f>
        <v>4.383365E7</v>
      </c>
    </row>
    <row r="49" spans="1:8" ht="24.9" customHeight="1">
      <c r="A49" s="51"/>
      <c r="B49" s="57"/>
      <c r="C49" s="39"/>
      <c r="D49" s="20" t="s">
        <v>16</v>
      </c>
      <c r="E49" s="21" t="n">
        <v>250.0</v>
      </c>
      <c r="F49" s="22" t="n">
        <f>124</f>
        <v>124.0</v>
      </c>
      <c r="G49" s="21" t="n">
        <v>4.81565E8</v>
      </c>
      <c r="H49" s="22" t="n">
        <f>239072000</f>
        <v>2.39072E8</v>
      </c>
    </row>
    <row r="50" spans="1:8" ht="24.9" customHeight="1">
      <c r="A50" s="51"/>
      <c r="B50" s="57"/>
      <c r="C50" s="39"/>
      <c r="D50" s="20" t="s">
        <v>17</v>
      </c>
      <c r="E50" s="21" t="n">
        <v>193.0</v>
      </c>
      <c r="F50" s="22" t="n">
        <f>151</f>
        <v>151.0</v>
      </c>
      <c r="G50" s="21" t="n">
        <v>3.71825429E8</v>
      </c>
      <c r="H50" s="22" t="n">
        <f>290982929</f>
        <v>2.90982929E8</v>
      </c>
    </row>
    <row r="51" spans="1:8" ht="24.9" customHeight="1">
      <c r="A51" s="51"/>
      <c r="B51" s="57"/>
      <c r="C51" s="39"/>
      <c r="D51" s="24" t="s">
        <v>18</v>
      </c>
      <c r="E51" s="25" t="n">
        <v>466.0</v>
      </c>
      <c r="F51" s="26" t="n">
        <f>298</f>
        <v>298.0</v>
      </c>
      <c r="G51" s="25" t="n">
        <v>8.97224079E8</v>
      </c>
      <c r="H51" s="26" t="n">
        <f>573888579</f>
        <v>5.73888579E8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799.0</v>
      </c>
      <c r="F56" s="18" t="n">
        <f>10</f>
        <v>10.0</v>
      </c>
      <c r="G56" s="17" t="n">
        <v>5.90486E8</v>
      </c>
      <c r="H56" s="18" t="n">
        <f>7377000</f>
        <v>7377000.0</v>
      </c>
    </row>
    <row r="57" spans="1:8" ht="24.9" customHeight="1">
      <c r="A57" s="51"/>
      <c r="B57" s="57"/>
      <c r="C57" s="39"/>
      <c r="D57" s="20" t="s">
        <v>16</v>
      </c>
      <c r="E57" s="21" t="n">
        <v>916.0</v>
      </c>
      <c r="F57" s="22" t="n">
        <f>13</f>
        <v>13.0</v>
      </c>
      <c r="G57" s="21" t="n">
        <v>6.798569E8</v>
      </c>
      <c r="H57" s="22" t="n">
        <f>9652900</f>
        <v>9652900.0</v>
      </c>
    </row>
    <row r="58" spans="1:8" ht="24.9" customHeight="1">
      <c r="A58" s="51"/>
      <c r="B58" s="57"/>
      <c r="C58" s="39"/>
      <c r="D58" s="20" t="s">
        <v>17</v>
      </c>
      <c r="E58" s="21" t="n">
        <v>1021.0</v>
      </c>
      <c r="F58" s="22" t="n">
        <f>45</f>
        <v>45.0</v>
      </c>
      <c r="G58" s="21" t="n">
        <v>7.6329706E8</v>
      </c>
      <c r="H58" s="22" t="n">
        <f>34387060</f>
        <v>3.438706E7</v>
      </c>
    </row>
    <row r="59" spans="1:8" ht="24.9" customHeight="1">
      <c r="A59" s="51"/>
      <c r="B59" s="57"/>
      <c r="C59" s="39"/>
      <c r="D59" s="24" t="s">
        <v>18</v>
      </c>
      <c r="E59" s="25" t="n">
        <v>2736.0</v>
      </c>
      <c r="F59" s="26" t="n">
        <f>68</f>
        <v>68.0</v>
      </c>
      <c r="G59" s="25" t="n">
        <v>2.03363996E9</v>
      </c>
      <c r="H59" s="26" t="n">
        <f>51416960</f>
        <v>5.141696E7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52.0</v>
      </c>
      <c r="F60" s="18" t="n">
        <f>0</f>
        <v>0.0</v>
      </c>
      <c r="G60" s="17" t="n">
        <v>2.509047E8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32.0</v>
      </c>
      <c r="F61" s="22" t="n">
        <f>1</f>
        <v>1.0</v>
      </c>
      <c r="G61" s="21" t="n">
        <v>1.551002E8</v>
      </c>
      <c r="H61" s="22" t="n">
        <f>4846800</f>
        <v>4846800.0</v>
      </c>
    </row>
    <row r="62" spans="1:8" ht="24.9" customHeight="1">
      <c r="A62" s="51"/>
      <c r="B62" s="57"/>
      <c r="C62" s="39"/>
      <c r="D62" s="20" t="s">
        <v>17</v>
      </c>
      <c r="E62" s="21" t="n">
        <v>18.0</v>
      </c>
      <c r="F62" s="22" t="n">
        <f>0</f>
        <v>0.0</v>
      </c>
      <c r="G62" s="21" t="n">
        <v>8.72161E7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102.0</v>
      </c>
      <c r="F63" s="26" t="n">
        <f>1</f>
        <v>1.0</v>
      </c>
      <c r="G63" s="25" t="n">
        <v>4.93221E8</v>
      </c>
      <c r="H63" s="26" t="n">
        <f>4846800</f>
        <v>4846800.0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16.0</v>
      </c>
      <c r="F77" s="22" t="n">
        <f>0</f>
        <v>0.0</v>
      </c>
      <c r="G77" s="21" t="n">
        <v>5298500.0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3551000.0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27.0</v>
      </c>
      <c r="F79" s="26" t="n">
        <f>0</f>
        <v>0.0</v>
      </c>
      <c r="G79" s="25" t="n">
        <v>8849500.0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0.0</v>
      </c>
      <c r="F92" s="18" t="n">
        <f>0</f>
        <v>0.0</v>
      </c>
      <c r="G92" s="17" t="n">
        <v>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200.0</v>
      </c>
      <c r="F94" s="22" t="n">
        <f>0</f>
        <v>0.0</v>
      </c>
      <c r="G94" s="21" t="n">
        <v>3.1652E8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200.0</v>
      </c>
      <c r="F95" s="26" t="n">
        <f>0</f>
        <v>0.0</v>
      </c>
      <c r="G95" s="25" t="n">
        <v>3.1652E8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8702.0</v>
      </c>
      <c r="F108" s="18" t="n">
        <f>10</f>
        <v>10.0</v>
      </c>
      <c r="G108" s="17" t="n">
        <v>1.12753755E12</v>
      </c>
      <c r="H108" s="18" t="n">
        <f>1296050000</f>
        <v>1.29605E9</v>
      </c>
    </row>
    <row r="109" spans="1:8" ht="24.9" customHeight="1">
      <c r="A109" s="51"/>
      <c r="B109" s="57"/>
      <c r="C109" s="39"/>
      <c r="D109" s="20" t="s">
        <v>16</v>
      </c>
      <c r="E109" s="21" t="n">
        <v>13220.0</v>
      </c>
      <c r="F109" s="22" t="n">
        <f>1047</f>
        <v>1047.0</v>
      </c>
      <c r="G109" s="21" t="n">
        <v>1.71525284E12</v>
      </c>
      <c r="H109" s="22" t="n">
        <f>135835490000</f>
        <v>1.3583549E11</v>
      </c>
    </row>
    <row r="110" spans="1:8" ht="24.9" customHeight="1">
      <c r="A110" s="51"/>
      <c r="B110" s="57"/>
      <c r="C110" s="39"/>
      <c r="D110" s="20" t="s">
        <v>17</v>
      </c>
      <c r="E110" s="21" t="n">
        <v>15647.0</v>
      </c>
      <c r="F110" s="22" t="n">
        <f>757</f>
        <v>757.0</v>
      </c>
      <c r="G110" s="21" t="n">
        <v>2.03306297E12</v>
      </c>
      <c r="H110" s="22" t="n">
        <f>98261660000</f>
        <v>9.826166E10</v>
      </c>
    </row>
    <row r="111" spans="1:8" ht="24.9" customHeight="1">
      <c r="A111" s="51"/>
      <c r="B111" s="57"/>
      <c r="C111" s="39"/>
      <c r="D111" s="24" t="s">
        <v>18</v>
      </c>
      <c r="E111" s="25" t="n">
        <v>37569.0</v>
      </c>
      <c r="F111" s="26" t="n">
        <f>1814</f>
        <v>1814.0</v>
      </c>
      <c r="G111" s="25" t="n">
        <v>4.87585336E12</v>
      </c>
      <c r="H111" s="26" t="n">
        <f>235393200000</f>
        <v>2.353932E11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4.0</v>
      </c>
      <c r="F113" s="22" t="n">
        <f>0</f>
        <v>0.0</v>
      </c>
      <c r="G113" s="21" t="n">
        <v>5.191E7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4.0</v>
      </c>
      <c r="F114" s="22" t="n">
        <f>0</f>
        <v>0.0</v>
      </c>
      <c r="G114" s="21" t="n">
        <v>5.1979E7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8.0</v>
      </c>
      <c r="F115" s="26" t="n">
        <f>0</f>
        <v>0.0</v>
      </c>
      <c r="G115" s="25" t="n">
        <v>1.03889E8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50.0</v>
      </c>
      <c r="F117" s="22" t="n">
        <f>0</f>
        <v>0.0</v>
      </c>
      <c r="G117" s="21" t="n">
        <v>4.7425E8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423.0</v>
      </c>
      <c r="F118" s="22" t="n">
        <f>423</f>
        <v>423.0</v>
      </c>
      <c r="G118" s="21" t="n">
        <v>4.049379E9</v>
      </c>
      <c r="H118" s="22" t="n">
        <f>4049379000</f>
        <v>4.049379E9</v>
      </c>
    </row>
    <row r="119" spans="1:8" ht="24.9" customHeight="1">
      <c r="A119" s="51"/>
      <c r="B119" s="58"/>
      <c r="C119" s="39"/>
      <c r="D119" s="24" t="s">
        <v>18</v>
      </c>
      <c r="E119" s="25" t="n">
        <v>473.0</v>
      </c>
      <c r="F119" s="26" t="n">
        <f>423</f>
        <v>423.0</v>
      </c>
      <c r="G119" s="25" t="n">
        <v>4.523629E9</v>
      </c>
      <c r="H119" s="26" t="n">
        <f>4049379000</f>
        <v>4.049379E9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323.0</v>
      </c>
      <c r="F120" s="18" t="n">
        <f>0</f>
        <v>0.0</v>
      </c>
      <c r="G120" s="17" t="n">
        <v>8.009923125E9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70.0</v>
      </c>
      <c r="F121" s="22" t="n">
        <f>0</f>
        <v>0.0</v>
      </c>
      <c r="G121" s="21" t="n">
        <v>1.732030625E9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131.0</v>
      </c>
      <c r="F122" s="22" t="n">
        <f>0</f>
        <v>0.0</v>
      </c>
      <c r="G122" s="21" t="n">
        <v>3.24124875E9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524.0</v>
      </c>
      <c r="F123" s="26" t="n">
        <f>0</f>
        <v>0.0</v>
      </c>
      <c r="G123" s="25" t="n">
        <v>1.29832025E10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4174.0</v>
      </c>
      <c r="F124" s="18" t="n">
        <f>0</f>
        <v>0.0</v>
      </c>
      <c r="G124" s="17" t="n">
        <v>1.0414869E11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2600.0</v>
      </c>
      <c r="F125" s="22" t="n">
        <f>0</f>
        <v>0.0</v>
      </c>
      <c r="G125" s="21" t="n">
        <v>6.5152147E10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1299.0</v>
      </c>
      <c r="F126" s="22" t="n">
        <f>0</f>
        <v>0.0</v>
      </c>
      <c r="G126" s="21" t="n">
        <v>3.2585029E10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8073.0</v>
      </c>
      <c r="F127" s="26" t="n">
        <f>0</f>
        <v>0.0</v>
      </c>
      <c r="G127" s="25" t="n">
        <v>2.01885866E11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64.0</v>
      </c>
      <c r="F128" s="18" t="n">
        <f>0</f>
        <v>0.0</v>
      </c>
      <c r="G128" s="17" t="n">
        <v>1.595563E8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303.0</v>
      </c>
      <c r="F129" s="22" t="n">
        <f>0</f>
        <v>0.0</v>
      </c>
      <c r="G129" s="21" t="n">
        <v>7.590566E8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298.0</v>
      </c>
      <c r="F130" s="22" t="n">
        <f>0</f>
        <v>0.0</v>
      </c>
      <c r="G130" s="21" t="n">
        <v>7.468974E8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665.0</v>
      </c>
      <c r="F131" s="26" t="n">
        <f>0</f>
        <v>0.0</v>
      </c>
      <c r="G131" s="25" t="n">
        <v>1.6655103E9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6363.0</v>
      </c>
      <c r="F132" s="18" t="n">
        <f>0</f>
        <v>0.0</v>
      </c>
      <c r="G132" s="17" t="n">
        <v>1.59018712E10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1460.0</v>
      </c>
      <c r="F133" s="22" t="n">
        <f>0</f>
        <v>0.0</v>
      </c>
      <c r="G133" s="21" t="n">
        <v>3.67099035E9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1100.0</v>
      </c>
      <c r="F134" s="22" t="n">
        <f>0</f>
        <v>0.0</v>
      </c>
      <c r="G134" s="21" t="n">
        <v>2.76584985E9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8923.0</v>
      </c>
      <c r="F135" s="26" t="n">
        <f>0</f>
        <v>0.0</v>
      </c>
      <c r="G135" s="25" t="n">
        <v>2.23387114E10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264.0</v>
      </c>
      <c r="F136" s="18" t="n">
        <f>0</f>
        <v>0.0</v>
      </c>
      <c r="G136" s="17" t="n">
        <v>6.522615E8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123.0</v>
      </c>
      <c r="F137" s="22" t="n">
        <f>0</f>
        <v>0.0</v>
      </c>
      <c r="G137" s="21" t="n">
        <v>3.05823E8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73.0</v>
      </c>
      <c r="F138" s="22" t="n">
        <f>0</f>
        <v>0.0</v>
      </c>
      <c r="G138" s="21" t="n">
        <v>1.814373E8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460.0</v>
      </c>
      <c r="F139" s="26" t="n">
        <f>0</f>
        <v>0.0</v>
      </c>
      <c r="G139" s="25" t="n">
        <v>1.1395218E9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3.0</v>
      </c>
      <c r="F142" s="22" t="n">
        <f>0</f>
        <v>0.0</v>
      </c>
      <c r="G142" s="21" t="n">
        <v>3.4395E7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3.4395E7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1114.0</v>
      </c>
      <c r="F144" s="18" t="n">
        <f>0</f>
        <v>0.0</v>
      </c>
      <c r="G144" s="17" t="n">
        <v>5.745588E9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2343.0</v>
      </c>
      <c r="F145" s="22" t="n">
        <f>0</f>
        <v>0.0</v>
      </c>
      <c r="G145" s="21" t="n">
        <v>1.2345426E10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732.0</v>
      </c>
      <c r="F146" s="22" t="n">
        <f>0</f>
        <v>0.0</v>
      </c>
      <c r="G146" s="21" t="n">
        <v>3.858102E9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4189.0</v>
      </c>
      <c r="F147" s="26" t="n">
        <f>0</f>
        <v>0.0</v>
      </c>
      <c r="G147" s="25" t="n">
        <v>2.1949116E10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374.0</v>
      </c>
      <c r="F148" s="18" t="n">
        <f>0</f>
        <v>0.0</v>
      </c>
      <c r="G148" s="17" t="n">
        <v>3.872394E8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1186.0</v>
      </c>
      <c r="F149" s="22" t="n">
        <f>0</f>
        <v>0.0</v>
      </c>
      <c r="G149" s="21" t="n">
        <v>1.2699346E9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914.0</v>
      </c>
      <c r="F150" s="22" t="n">
        <f>0</f>
        <v>0.0</v>
      </c>
      <c r="G150" s="21" t="n">
        <v>9.79907E8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2474.0</v>
      </c>
      <c r="F151" s="26" t="n">
        <f>0</f>
        <v>0.0</v>
      </c>
      <c r="G151" s="25" t="n">
        <v>2.637081E9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282.0</v>
      </c>
      <c r="F152" s="18" t="n">
        <f>0</f>
        <v>0.0</v>
      </c>
      <c r="G152" s="17" t="n">
        <v>2.9021735E8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207.0</v>
      </c>
      <c r="F153" s="22" t="n">
        <f>0</f>
        <v>0.0</v>
      </c>
      <c r="G153" s="21" t="n">
        <v>2.182114E8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96.0</v>
      </c>
      <c r="F154" s="22" t="n">
        <f>0</f>
        <v>0.0</v>
      </c>
      <c r="G154" s="21" t="n">
        <v>1.011051E8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585.0</v>
      </c>
      <c r="F155" s="26" t="n">
        <f>0</f>
        <v>0.0</v>
      </c>
      <c r="G155" s="25" t="n">
        <v>6.0953385E8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582.0</v>
      </c>
      <c r="F156" s="18" t="n">
        <f>0</f>
        <v>0.0</v>
      </c>
      <c r="G156" s="17" t="n">
        <v>6.05362E8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478.0</v>
      </c>
      <c r="F157" s="22" t="n">
        <f>0</f>
        <v>0.0</v>
      </c>
      <c r="G157" s="21" t="n">
        <v>5.111562E8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1150.0</v>
      </c>
      <c r="F158" s="22" t="n">
        <f>0</f>
        <v>0.0</v>
      </c>
      <c r="G158" s="21" t="n">
        <v>1.2319038E9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2210.0</v>
      </c>
      <c r="F159" s="26" t="n">
        <f>0</f>
        <v>0.0</v>
      </c>
      <c r="G159" s="25" t="n">
        <v>2.348422E9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2.0</v>
      </c>
      <c r="F168" s="18" t="n">
        <f>0</f>
        <v>0.0</v>
      </c>
      <c r="G168" s="17" t="n">
        <v>3814500.0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66.0</v>
      </c>
      <c r="F169" s="22" t="n">
        <f>0</f>
        <v>0.0</v>
      </c>
      <c r="G169" s="21" t="n">
        <v>1.292155E8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142.0</v>
      </c>
      <c r="F170" s="22" t="n">
        <f>0</f>
        <v>0.0</v>
      </c>
      <c r="G170" s="21" t="n">
        <v>2.768905E8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210.0</v>
      </c>
      <c r="F171" s="26" t="n">
        <f>0</f>
        <v>0.0</v>
      </c>
      <c r="G171" s="25" t="n">
        <v>4.099205E8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69.0</v>
      </c>
      <c r="F176" s="18" t="n">
        <f>0</f>
        <v>0.0</v>
      </c>
      <c r="G176" s="17" t="n">
        <v>1.15895E8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32.0</v>
      </c>
      <c r="F177" s="22" t="n">
        <f>0</f>
        <v>0.0</v>
      </c>
      <c r="G177" s="21" t="n">
        <v>5.3691E7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12.0</v>
      </c>
      <c r="F178" s="22" t="n">
        <f>0</f>
        <v>0.0</v>
      </c>
      <c r="G178" s="21" t="n">
        <v>2.0146E7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113.0</v>
      </c>
      <c r="F179" s="26" t="n">
        <f>0</f>
        <v>0.0</v>
      </c>
      <c r="G179" s="25" t="n">
        <v>1.89732E8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517.0</v>
      </c>
      <c r="F204" s="18" t="n">
        <f>0</f>
        <v>0.0</v>
      </c>
      <c r="G204" s="17" t="n">
        <v>2.205888E9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204.0</v>
      </c>
      <c r="F205" s="22" t="n">
        <f>0</f>
        <v>0.0</v>
      </c>
      <c r="G205" s="21" t="n">
        <v>8.496785E8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1014.0</v>
      </c>
      <c r="F206" s="22" t="n">
        <f>0</f>
        <v>0.0</v>
      </c>
      <c r="G206" s="21" t="n">
        <v>4.3101975E9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1735.0</v>
      </c>
      <c r="F207" s="26" t="n">
        <f>0</f>
        <v>0.0</v>
      </c>
      <c r="G207" s="25" t="n">
        <v>7.365764E9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15.0</v>
      </c>
      <c r="F218" s="22" t="n">
        <f>15</f>
        <v>15.0</v>
      </c>
      <c r="G218" s="21" t="n">
        <v>2.45088E7</v>
      </c>
      <c r="H218" s="22" t="n">
        <f>24508800</f>
        <v>2.45088E7</v>
      </c>
    </row>
    <row r="219" spans="1:8" ht="24.9" customHeight="1">
      <c r="A219" s="57"/>
      <c r="B219" s="59"/>
      <c r="C219" s="39"/>
      <c r="D219" s="24" t="s">
        <v>18</v>
      </c>
      <c r="E219" s="25" t="n">
        <v>15.0</v>
      </c>
      <c r="F219" s="26" t="n">
        <f>15</f>
        <v>15.0</v>
      </c>
      <c r="G219" s="25" t="n">
        <v>2.45088E7</v>
      </c>
      <c r="H219" s="26" t="n">
        <f>24508800</f>
        <v>2.45088E7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15.0</v>
      </c>
      <c r="F230" s="22" t="n">
        <f>15</f>
        <v>15.0</v>
      </c>
      <c r="G230" s="21" t="n">
        <v>1.03029E7</v>
      </c>
      <c r="H230" s="22" t="n">
        <f>10302900</f>
        <v>1.03029E7</v>
      </c>
    </row>
    <row r="231" spans="1:8" ht="24.9" customHeight="1">
      <c r="A231" s="57"/>
      <c r="B231" s="59"/>
      <c r="C231" s="39"/>
      <c r="D231" s="24" t="s">
        <v>18</v>
      </c>
      <c r="E231" s="25" t="n">
        <v>15.0</v>
      </c>
      <c r="F231" s="26" t="n">
        <f>15</f>
        <v>15.0</v>
      </c>
      <c r="G231" s="25" t="n">
        <v>1.03029E7</v>
      </c>
      <c r="H231" s="26" t="n">
        <f>10302900</f>
        <v>1.03029E7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46126.0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46126.0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2384</f>
        <v>2384.0</v>
      </c>
      <c r="E12" s="35" t="n">
        <f>746</f>
        <v>746.0</v>
      </c>
      <c r="F12" s="17" t="n">
        <f>1693</f>
        <v>1693.0</v>
      </c>
      <c r="G12" s="35" t="n">
        <f>596</f>
        <v>596.0</v>
      </c>
      <c r="H12" s="17" t="n">
        <f>4077</f>
        <v>4077.0</v>
      </c>
      <c r="I12" s="35" t="n">
        <f>1342</f>
        <v>1342.0</v>
      </c>
      <c r="J12" s="17" t="n">
        <f>1054346840</f>
        <v>1.05434684E9</v>
      </c>
      <c r="K12" s="35" t="n">
        <f>498462840</f>
        <v>4.9846284E8</v>
      </c>
      <c r="L12" s="17" t="n">
        <f>575929700</f>
        <v>5.759297E8</v>
      </c>
      <c r="M12" s="35" t="n">
        <f>190698700</f>
        <v>1.906987E8</v>
      </c>
      <c r="N12" s="17" t="n">
        <f>1630276540</f>
        <v>1.63027654E9</v>
      </c>
      <c r="O12" s="35" t="n">
        <f>689161540</f>
        <v>6.8916154E8</v>
      </c>
    </row>
    <row r="13" spans="1:15" ht="24.9" customHeight="1">
      <c r="A13" s="38"/>
      <c r="B13" s="62"/>
      <c r="C13" s="20" t="s">
        <v>16</v>
      </c>
      <c r="D13" s="21" t="n">
        <f>8124</f>
        <v>8124.0</v>
      </c>
      <c r="E13" s="36" t="n">
        <f>4675</f>
        <v>4675.0</v>
      </c>
      <c r="F13" s="21" t="n">
        <f>5477</f>
        <v>5477.0</v>
      </c>
      <c r="G13" s="36" t="n">
        <f>2654</f>
        <v>2654.0</v>
      </c>
      <c r="H13" s="21" t="n">
        <f>13601</f>
        <v>13601.0</v>
      </c>
      <c r="I13" s="36" t="n">
        <f>7329</f>
        <v>7329.0</v>
      </c>
      <c r="J13" s="21" t="n">
        <f>3036888290</f>
        <v>3.03688829E9</v>
      </c>
      <c r="K13" s="36" t="n">
        <f>2281565290</f>
        <v>2.28156529E9</v>
      </c>
      <c r="L13" s="21" t="n">
        <f>3392996600</f>
        <v>3.3929966E9</v>
      </c>
      <c r="M13" s="36" t="n">
        <f>2193994600</f>
        <v>2.1939946E9</v>
      </c>
      <c r="N13" s="21" t="n">
        <f>6429884890</f>
        <v>6.42988489E9</v>
      </c>
      <c r="O13" s="36" t="n">
        <f>4475559890</f>
        <v>4.47555989E9</v>
      </c>
    </row>
    <row r="14" spans="1:15" ht="24.9" customHeight="1">
      <c r="A14" s="38"/>
      <c r="B14" s="62"/>
      <c r="C14" s="20" t="s">
        <v>17</v>
      </c>
      <c r="D14" s="21" t="n">
        <f>19925</f>
        <v>19925.0</v>
      </c>
      <c r="E14" s="36" t="n">
        <f>15274</f>
        <v>15274.0</v>
      </c>
      <c r="F14" s="21" t="n">
        <f>8302</f>
        <v>8302.0</v>
      </c>
      <c r="G14" s="36" t="n">
        <f>5660</f>
        <v>5660.0</v>
      </c>
      <c r="H14" s="21" t="n">
        <f>28227</f>
        <v>28227.0</v>
      </c>
      <c r="I14" s="36" t="n">
        <f>20934</f>
        <v>20934.0</v>
      </c>
      <c r="J14" s="21" t="n">
        <f>12768137514</f>
        <v>1.2768137514E10</v>
      </c>
      <c r="K14" s="36" t="n">
        <f>11348105514</f>
        <v>1.1348105514E10</v>
      </c>
      <c r="L14" s="21" t="n">
        <f>11703662140</f>
        <v>1.170366214E10</v>
      </c>
      <c r="M14" s="36" t="n">
        <f>10517786140</f>
        <v>1.051778614E10</v>
      </c>
      <c r="N14" s="21" t="n">
        <f>24471799654</f>
        <v>2.4471799654E10</v>
      </c>
      <c r="O14" s="36" t="n">
        <f>21865891654</f>
        <v>2.1865891654E10</v>
      </c>
    </row>
    <row r="15" spans="1:15" ht="24.9" customHeight="1">
      <c r="A15" s="38"/>
      <c r="B15" s="62"/>
      <c r="C15" s="24" t="s">
        <v>18</v>
      </c>
      <c r="D15" s="25" t="n">
        <f>30433</f>
        <v>30433.0</v>
      </c>
      <c r="E15" s="37" t="n">
        <f>20695</f>
        <v>20695.0</v>
      </c>
      <c r="F15" s="25" t="n">
        <f>15472</f>
        <v>15472.0</v>
      </c>
      <c r="G15" s="37" t="n">
        <f>8910</f>
        <v>8910.0</v>
      </c>
      <c r="H15" s="25" t="n">
        <f>45905</f>
        <v>45905.0</v>
      </c>
      <c r="I15" s="37" t="n">
        <f>29605</f>
        <v>29605.0</v>
      </c>
      <c r="J15" s="25" t="n">
        <f>16859372644</f>
        <v>1.6859372644E10</v>
      </c>
      <c r="K15" s="37" t="n">
        <f>14128133644</f>
        <v>1.4128133644E10</v>
      </c>
      <c r="L15" s="25" t="n">
        <f>15672588440</f>
        <v>1.567258844E10</v>
      </c>
      <c r="M15" s="37" t="n">
        <f>12902479440</f>
        <v>1.290247944E10</v>
      </c>
      <c r="N15" s="25" t="n">
        <f>32531961084</f>
        <v>3.2531961084E10</v>
      </c>
      <c r="O15" s="37" t="n">
        <f>27030613084</f>
        <v>2.7030613084E10</v>
      </c>
    </row>
    <row r="16" spans="1:15" ht="24.9" customHeight="1">
      <c r="A16" s="38"/>
      <c r="B16" s="61" t="s">
        <v>105</v>
      </c>
      <c r="C16" s="16" t="s">
        <v>15</v>
      </c>
      <c r="D16" s="17" t="n">
        <f>11941</f>
        <v>11941.0</v>
      </c>
      <c r="E16" s="35" t="n">
        <f>700</f>
        <v>700.0</v>
      </c>
      <c r="F16" s="17" t="n">
        <f>5087</f>
        <v>5087.0</v>
      </c>
      <c r="G16" s="35" t="n">
        <f>220</f>
        <v>220.0</v>
      </c>
      <c r="H16" s="17" t="n">
        <f>17028</f>
        <v>17028.0</v>
      </c>
      <c r="I16" s="35" t="n">
        <f>920</f>
        <v>920.0</v>
      </c>
      <c r="J16" s="17" t="n">
        <f>331342740</f>
        <v>3.3134274E8</v>
      </c>
      <c r="K16" s="35" t="n">
        <f>11120040</f>
        <v>1.112004E7</v>
      </c>
      <c r="L16" s="17" t="n">
        <f>348457470</f>
        <v>3.4845747E8</v>
      </c>
      <c r="M16" s="35" t="n">
        <f>3084970</f>
        <v>3084970.0</v>
      </c>
      <c r="N16" s="17" t="n">
        <f>679800210</f>
        <v>6.7980021E8</v>
      </c>
      <c r="O16" s="35" t="n">
        <f>14205010</f>
        <v>1.420501E7</v>
      </c>
    </row>
    <row r="17" spans="1:15" ht="24.9" customHeight="1">
      <c r="A17" s="38"/>
      <c r="B17" s="62"/>
      <c r="C17" s="20" t="s">
        <v>16</v>
      </c>
      <c r="D17" s="21" t="n">
        <f>12239</f>
        <v>12239.0</v>
      </c>
      <c r="E17" s="36" t="n">
        <f>1270</f>
        <v>1270.0</v>
      </c>
      <c r="F17" s="21" t="n">
        <f>5902</f>
        <v>5902.0</v>
      </c>
      <c r="G17" s="36" t="n">
        <f>290</f>
        <v>290.0</v>
      </c>
      <c r="H17" s="21" t="n">
        <f>18141</f>
        <v>18141.0</v>
      </c>
      <c r="I17" s="36" t="n">
        <f>1560</f>
        <v>1560.0</v>
      </c>
      <c r="J17" s="21" t="n">
        <f>166125080</f>
        <v>1.6612508E8</v>
      </c>
      <c r="K17" s="36" t="n">
        <f>3534080</f>
        <v>3534080.0</v>
      </c>
      <c r="L17" s="21" t="n">
        <f>189452440</f>
        <v>1.8945244E8</v>
      </c>
      <c r="M17" s="36" t="n">
        <f>4459340</f>
        <v>4459340.0</v>
      </c>
      <c r="N17" s="21" t="n">
        <f>355577520</f>
        <v>3.5557752E8</v>
      </c>
      <c r="O17" s="36" t="n">
        <f>7993420</f>
        <v>7993420.0</v>
      </c>
    </row>
    <row r="18" spans="1:15" ht="24.9" customHeight="1">
      <c r="A18" s="38"/>
      <c r="B18" s="62"/>
      <c r="C18" s="20" t="s">
        <v>17</v>
      </c>
      <c r="D18" s="21" t="n">
        <f>11606</f>
        <v>11606.0</v>
      </c>
      <c r="E18" s="36" t="n">
        <f>1190</f>
        <v>1190.0</v>
      </c>
      <c r="F18" s="21" t="n">
        <f>3781</f>
        <v>3781.0</v>
      </c>
      <c r="G18" s="36" t="n">
        <f>200</f>
        <v>200.0</v>
      </c>
      <c r="H18" s="21" t="n">
        <f>15387</f>
        <v>15387.0</v>
      </c>
      <c r="I18" s="36" t="n">
        <f>1390</f>
        <v>1390.0</v>
      </c>
      <c r="J18" s="21" t="n">
        <f>195413330</f>
        <v>1.9541333E8</v>
      </c>
      <c r="K18" s="36" t="n">
        <f>4953230</f>
        <v>4953230.0</v>
      </c>
      <c r="L18" s="21" t="n">
        <f>123085350</f>
        <v>1.2308535E8</v>
      </c>
      <c r="M18" s="36" t="n">
        <f>3866250</f>
        <v>3866250.0</v>
      </c>
      <c r="N18" s="21" t="n">
        <f>318498680</f>
        <v>3.1849868E8</v>
      </c>
      <c r="O18" s="36" t="n">
        <f>8819480</f>
        <v>8819480.0</v>
      </c>
    </row>
    <row r="19" spans="1:15" ht="24.9" customHeight="1">
      <c r="A19" s="38"/>
      <c r="B19" s="62"/>
      <c r="C19" s="24" t="s">
        <v>18</v>
      </c>
      <c r="D19" s="25" t="n">
        <f>35786</f>
        <v>35786.0</v>
      </c>
      <c r="E19" s="37" t="n">
        <f>3160</f>
        <v>3160.0</v>
      </c>
      <c r="F19" s="25" t="n">
        <f>14770</f>
        <v>14770.0</v>
      </c>
      <c r="G19" s="37" t="n">
        <f>710</f>
        <v>710.0</v>
      </c>
      <c r="H19" s="25" t="n">
        <f>50556</f>
        <v>50556.0</v>
      </c>
      <c r="I19" s="37" t="n">
        <f>3870</f>
        <v>3870.0</v>
      </c>
      <c r="J19" s="25" t="n">
        <f>692881150</f>
        <v>6.9288115E8</v>
      </c>
      <c r="K19" s="37" t="n">
        <f>19607350</f>
        <v>1.960735E7</v>
      </c>
      <c r="L19" s="25" t="n">
        <f>660995260</f>
        <v>6.6099526E8</v>
      </c>
      <c r="M19" s="37" t="n">
        <f>11410560</f>
        <v>1.141056E7</v>
      </c>
      <c r="N19" s="25" t="n">
        <f>1353876410</f>
        <v>1.35387641E9</v>
      </c>
      <c r="O19" s="37" t="n">
        <f>31017910</f>
        <v>3.101791E7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41</f>
        <v>41.0</v>
      </c>
      <c r="E21" s="36" t="n">
        <f>0</f>
        <v>0.0</v>
      </c>
      <c r="F21" s="21" t="n">
        <f>100</f>
        <v>100.0</v>
      </c>
      <c r="G21" s="36" t="n">
        <f>100</f>
        <v>100.0</v>
      </c>
      <c r="H21" s="21" t="n">
        <f>141</f>
        <v>141.0</v>
      </c>
      <c r="I21" s="36" t="n">
        <f>100</f>
        <v>100.0</v>
      </c>
      <c r="J21" s="21" t="n">
        <f>19750000</f>
        <v>1.975E7</v>
      </c>
      <c r="K21" s="36" t="n">
        <f>0</f>
        <v>0.0</v>
      </c>
      <c r="L21" s="21" t="n">
        <f>18850000</f>
        <v>1.885E7</v>
      </c>
      <c r="M21" s="36" t="n">
        <f>18850000</f>
        <v>1.885E7</v>
      </c>
      <c r="N21" s="21" t="n">
        <f>38600000</f>
        <v>3.86E7</v>
      </c>
      <c r="O21" s="36" t="n">
        <f>18850000</f>
        <v>1.885E7</v>
      </c>
    </row>
    <row r="22" spans="1:15" ht="24.9" customHeight="1">
      <c r="A22" s="38"/>
      <c r="B22" s="62"/>
      <c r="C22" s="20" t="s">
        <v>17</v>
      </c>
      <c r="D22" s="21" t="n">
        <f>1902</f>
        <v>1902.0</v>
      </c>
      <c r="E22" s="36" t="n">
        <f>1900</f>
        <v>1900.0</v>
      </c>
      <c r="F22" s="21" t="n">
        <f>350</f>
        <v>350.0</v>
      </c>
      <c r="G22" s="36" t="n">
        <f>350</f>
        <v>350.0</v>
      </c>
      <c r="H22" s="21" t="n">
        <f>2252</f>
        <v>2252.0</v>
      </c>
      <c r="I22" s="36" t="n">
        <f>2250</f>
        <v>2250.0</v>
      </c>
      <c r="J22" s="21" t="n">
        <f>1304705000</f>
        <v>1.304705E9</v>
      </c>
      <c r="K22" s="36" t="n">
        <f>1303750000</f>
        <v>1.30375E9</v>
      </c>
      <c r="L22" s="21" t="n">
        <f>695250000</f>
        <v>6.9525E8</v>
      </c>
      <c r="M22" s="36" t="n">
        <f>695250000</f>
        <v>6.9525E8</v>
      </c>
      <c r="N22" s="21" t="n">
        <f>1999955000</f>
        <v>1.999955E9</v>
      </c>
      <c r="O22" s="36" t="n">
        <f>1999000000</f>
        <v>1.999E9</v>
      </c>
    </row>
    <row r="23" spans="1:15" ht="24.9" customHeight="1">
      <c r="A23" s="38"/>
      <c r="B23" s="62"/>
      <c r="C23" s="24" t="s">
        <v>18</v>
      </c>
      <c r="D23" s="25" t="n">
        <f>1943</f>
        <v>1943.0</v>
      </c>
      <c r="E23" s="37" t="n">
        <f>1900</f>
        <v>1900.0</v>
      </c>
      <c r="F23" s="25" t="n">
        <f>450</f>
        <v>450.0</v>
      </c>
      <c r="G23" s="37" t="n">
        <f>450</f>
        <v>450.0</v>
      </c>
      <c r="H23" s="25" t="n">
        <f>2393</f>
        <v>2393.0</v>
      </c>
      <c r="I23" s="37" t="n">
        <f>2350</f>
        <v>2350.0</v>
      </c>
      <c r="J23" s="25" t="n">
        <f>1324455000</f>
        <v>1.324455E9</v>
      </c>
      <c r="K23" s="37" t="n">
        <f>1303750000</f>
        <v>1.30375E9</v>
      </c>
      <c r="L23" s="25" t="n">
        <f>714100000</f>
        <v>7.141E8</v>
      </c>
      <c r="M23" s="37" t="n">
        <f>714100000</f>
        <v>7.141E8</v>
      </c>
      <c r="N23" s="25" t="n">
        <f>2038555000</f>
        <v>2.038555E9</v>
      </c>
      <c r="O23" s="37" t="n">
        <f>2017850000</f>
        <v>2.01785E9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35</f>
        <v>35.0</v>
      </c>
      <c r="E37" s="22" t="n">
        <f>0</f>
        <v>0.0</v>
      </c>
      <c r="F37" s="21" t="n">
        <f>1</f>
        <v>1.0</v>
      </c>
      <c r="G37" s="22" t="n">
        <f>0</f>
        <v>0.0</v>
      </c>
      <c r="H37" s="21" t="n">
        <f>36</f>
        <v>36.0</v>
      </c>
      <c r="I37" s="22" t="n">
        <f>0</f>
        <v>0.0</v>
      </c>
      <c r="J37" s="21" t="n">
        <f>5750000</f>
        <v>5750000.0</v>
      </c>
      <c r="K37" s="22" t="n">
        <f>0</f>
        <v>0.0</v>
      </c>
      <c r="L37" s="21" t="n">
        <f>50000</f>
        <v>50000.0</v>
      </c>
      <c r="M37" s="22" t="n">
        <f>0</f>
        <v>0.0</v>
      </c>
      <c r="N37" s="21" t="n">
        <f>5800000</f>
        <v>5800000.0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16</f>
        <v>16.0</v>
      </c>
      <c r="E38" s="36" t="n">
        <f>0</f>
        <v>0.0</v>
      </c>
      <c r="F38" s="21" t="n">
        <f>5</f>
        <v>5.0</v>
      </c>
      <c r="G38" s="36" t="n">
        <f>0</f>
        <v>0.0</v>
      </c>
      <c r="H38" s="21" t="n">
        <f>21</f>
        <v>21.0</v>
      </c>
      <c r="I38" s="36" t="n">
        <f>0</f>
        <v>0.0</v>
      </c>
      <c r="J38" s="21" t="n">
        <f>4770000</f>
        <v>4770000.0</v>
      </c>
      <c r="K38" s="36" t="n">
        <f>0</f>
        <v>0.0</v>
      </c>
      <c r="L38" s="21" t="n">
        <f>990000</f>
        <v>990000.0</v>
      </c>
      <c r="M38" s="36" t="n">
        <f>0</f>
        <v>0.0</v>
      </c>
      <c r="N38" s="21" t="n">
        <f>5760000</f>
        <v>5760000.0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51</f>
        <v>51.0</v>
      </c>
      <c r="E39" s="37" t="n">
        <f>0</f>
        <v>0.0</v>
      </c>
      <c r="F39" s="25" t="n">
        <f>6</f>
        <v>6.0</v>
      </c>
      <c r="G39" s="37" t="n">
        <f>0</f>
        <v>0.0</v>
      </c>
      <c r="H39" s="25" t="n">
        <f>57</f>
        <v>57.0</v>
      </c>
      <c r="I39" s="37" t="n">
        <f>0</f>
        <v>0.0</v>
      </c>
      <c r="J39" s="25" t="n">
        <f>10520000</f>
        <v>1.052E7</v>
      </c>
      <c r="K39" s="37" t="n">
        <f>0</f>
        <v>0.0</v>
      </c>
      <c r="L39" s="25" t="n">
        <f>1040000</f>
        <v>1040000.0</v>
      </c>
      <c r="M39" s="37" t="n">
        <f>0</f>
        <v>0.0</v>
      </c>
      <c r="N39" s="25" t="n">
        <f>11560000</f>
        <v>1.156E7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987</f>
        <v>987.0</v>
      </c>
      <c r="E41" s="36" t="n">
        <f>0</f>
        <v>0.0</v>
      </c>
      <c r="F41" s="21" t="n">
        <f>7260</f>
        <v>7260.0</v>
      </c>
      <c r="G41" s="36" t="n">
        <f>0</f>
        <v>0.0</v>
      </c>
      <c r="H41" s="21" t="n">
        <f>8247</f>
        <v>8247.0</v>
      </c>
      <c r="I41" s="36" t="n">
        <f>0</f>
        <v>0.0</v>
      </c>
      <c r="J41" s="21" t="n">
        <f>6978810</f>
        <v>6978810.0</v>
      </c>
      <c r="K41" s="36" t="n">
        <f>0</f>
        <v>0.0</v>
      </c>
      <c r="L41" s="21" t="n">
        <f>64816702</f>
        <v>6.4816702E7</v>
      </c>
      <c r="M41" s="36" t="n">
        <f>0</f>
        <v>0.0</v>
      </c>
      <c r="N41" s="21" t="n">
        <f>71795512</f>
        <v>7.1795512E7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434</f>
        <v>434.0</v>
      </c>
      <c r="E42" s="36" t="n">
        <f>0</f>
        <v>0.0</v>
      </c>
      <c r="F42" s="21" t="n">
        <f>1340</f>
        <v>1340.0</v>
      </c>
      <c r="G42" s="36" t="n">
        <f>500</f>
        <v>500.0</v>
      </c>
      <c r="H42" s="21" t="n">
        <f>1774</f>
        <v>1774.0</v>
      </c>
      <c r="I42" s="36" t="n">
        <f>500</f>
        <v>500.0</v>
      </c>
      <c r="J42" s="21" t="n">
        <f>5350864</f>
        <v>5350864.0</v>
      </c>
      <c r="K42" s="36" t="n">
        <f>0</f>
        <v>0.0</v>
      </c>
      <c r="L42" s="21" t="n">
        <f>90530321</f>
        <v>9.0530321E7</v>
      </c>
      <c r="M42" s="36" t="n">
        <f>16550000</f>
        <v>1.655E7</v>
      </c>
      <c r="N42" s="21" t="n">
        <f>95881185</f>
        <v>9.5881185E7</v>
      </c>
      <c r="O42" s="36" t="n">
        <f>16550000</f>
        <v>1.655E7</v>
      </c>
    </row>
    <row r="43" spans="1:15" ht="24.9" customHeight="1">
      <c r="A43" s="38"/>
      <c r="B43" s="62"/>
      <c r="C43" s="24" t="s">
        <v>18</v>
      </c>
      <c r="D43" s="25" t="n">
        <f>1421</f>
        <v>1421.0</v>
      </c>
      <c r="E43" s="37" t="n">
        <f>0</f>
        <v>0.0</v>
      </c>
      <c r="F43" s="25" t="n">
        <f>8600</f>
        <v>8600.0</v>
      </c>
      <c r="G43" s="37" t="n">
        <f>500</f>
        <v>500.0</v>
      </c>
      <c r="H43" s="25" t="n">
        <f>10021</f>
        <v>10021.0</v>
      </c>
      <c r="I43" s="37" t="n">
        <f>500</f>
        <v>500.0</v>
      </c>
      <c r="J43" s="25" t="n">
        <f>12329674</f>
        <v>1.2329674E7</v>
      </c>
      <c r="K43" s="37" t="n">
        <f>0</f>
        <v>0.0</v>
      </c>
      <c r="L43" s="25" t="n">
        <f>155347023</f>
        <v>1.55347023E8</v>
      </c>
      <c r="M43" s="37" t="n">
        <f>16550000</f>
        <v>1.655E7</v>
      </c>
      <c r="N43" s="25" t="n">
        <f>167676697</f>
        <v>1.67676697E8</v>
      </c>
      <c r="O43" s="37" t="n">
        <f>16550000</f>
        <v>1.655E7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