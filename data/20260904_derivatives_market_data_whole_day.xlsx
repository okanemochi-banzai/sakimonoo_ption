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<sst xmlns="http://schemas.openxmlformats.org/spreadsheetml/2006/main" count="528" uniqueCount="129">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</sst>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DATE(2026,09,04)</f>
        <v>46269.0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DATE(2026,09,04)</f>
        <v>46269.0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888681.0</f>
        <v>888681.0</v>
      </c>
      <c r="E12" s="18" t="n">
        <f>48619.0</f>
        <v>48619.0</v>
      </c>
      <c r="F12" s="19" t="n">
        <f>1.0</f>
        <v>1.0</v>
      </c>
      <c r="G12" s="17" t="n">
        <f>9337495790190.0</f>
        <v>9.33749579019E12</v>
      </c>
      <c r="H12" s="18" t="n">
        <f>704887897890.0</f>
        <v>7.0488789789E11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426087.0</f>
        <v>426087.0</v>
      </c>
      <c r="E13" s="22" t="n">
        <f>28371.0</f>
        <v>28371.0</v>
      </c>
      <c r="F13" s="23" t="n">
        <f>1.0</f>
        <v>1.0</v>
      </c>
      <c r="G13" s="21" t="n">
        <f>7425113625520.0</f>
        <v>7.42511362552E12</v>
      </c>
      <c r="H13" s="22" t="n">
        <f>792526218820.0</f>
        <v>7.9252621882E11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527991.0</f>
        <v>527991.0</v>
      </c>
      <c r="E14" s="22" t="n">
        <f>112942.0</f>
        <v>112942.0</v>
      </c>
      <c r="F14" s="23" t="n">
        <f>1.0</f>
        <v>1.0</v>
      </c>
      <c r="G14" s="21" t="n">
        <f>9907017020606.0</f>
        <v>9.907017020606E12</v>
      </c>
      <c r="H14" s="22" t="n">
        <f>3091814127356.0</f>
        <v>3.091814127356E12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1842759.0</f>
        <v>1842759.0</v>
      </c>
      <c r="E15" s="26" t="n">
        <f>189932.0</f>
        <v>189932.0</v>
      </c>
      <c r="F15" s="27" t="n">
        <f>1.0</f>
        <v>1.0</v>
      </c>
      <c r="G15" s="25" t="n">
        <f>26669626436316.0</f>
        <v>2.6669626436316E13</v>
      </c>
      <c r="H15" s="26" t="n">
        <f>4589228244066.0</f>
        <v>4.589228244066E12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39172.0</f>
        <v>39172.0</v>
      </c>
      <c r="E16" s="18" t="n">
        <f>1136.0</f>
        <v>1136.0</v>
      </c>
      <c r="F16" s="19" t="n">
        <f>0.044</f>
        <v>0.044</v>
      </c>
      <c r="G16" s="17" t="n">
        <f>4793885811250.0</f>
        <v>4.79388581125E12</v>
      </c>
      <c r="H16" s="18" t="n">
        <f>142498115000.0</f>
        <v>1.42498115E11</v>
      </c>
      <c r="I16" s="19" t="n">
        <f>0.513</f>
        <v>0.513</v>
      </c>
    </row>
    <row r="17" spans="1:9" ht="24.9" customHeight="1">
      <c r="A17" s="41"/>
      <c r="B17" s="39"/>
      <c r="C17" s="20" t="s">
        <v>16</v>
      </c>
      <c r="D17" s="21" t="n">
        <f>47214.0</f>
        <v>47214.0</v>
      </c>
      <c r="E17" s="22" t="n">
        <f>10551.0</f>
        <v>10551.0</v>
      </c>
      <c r="F17" s="23" t="n">
        <f>0.111</f>
        <v>0.111</v>
      </c>
      <c r="G17" s="21" t="n">
        <f>4722577390500.0</f>
        <v>4.7225773905E12</v>
      </c>
      <c r="H17" s="22" t="n">
        <f>584774227500.0</f>
        <v>5.847742275E11</v>
      </c>
      <c r="I17" s="23" t="n">
        <f>0.636</f>
        <v>0.636</v>
      </c>
    </row>
    <row r="18" spans="1:9" ht="24.9" customHeight="1">
      <c r="A18" s="41"/>
      <c r="B18" s="39"/>
      <c r="C18" s="20" t="s">
        <v>17</v>
      </c>
      <c r="D18" s="21" t="n">
        <f>32658.0</f>
        <v>32658.0</v>
      </c>
      <c r="E18" s="22" t="n">
        <f>6070.0</f>
        <v>6070.0</v>
      </c>
      <c r="F18" s="23" t="n">
        <f>0.062</f>
        <v>0.062</v>
      </c>
      <c r="G18" s="21" t="n">
        <f>3947019194750.0</f>
        <v>3.94701919475E12</v>
      </c>
      <c r="H18" s="22" t="n">
        <f>753133665000.0</f>
        <v>7.53133665E11</v>
      </c>
      <c r="I18" s="23" t="n">
        <f>0.398</f>
        <v>0.398</v>
      </c>
    </row>
    <row r="19" spans="1:9" ht="24.9" customHeight="1">
      <c r="A19" s="41"/>
      <c r="B19" s="39"/>
      <c r="C19" s="24" t="s">
        <v>18</v>
      </c>
      <c r="D19" s="25" t="n">
        <f>119044.0</f>
        <v>119044.0</v>
      </c>
      <c r="E19" s="26" t="n">
        <f>17757.0</f>
        <v>17757.0</v>
      </c>
      <c r="F19" s="27" t="n">
        <f>0.065</f>
        <v>0.065</v>
      </c>
      <c r="G19" s="25" t="n">
        <f>13463482396500.0</f>
        <v>1.34634823965E13</v>
      </c>
      <c r="H19" s="26" t="n">
        <f>1480406007500.0</f>
        <v>1.4804060075E12</v>
      </c>
      <c r="I19" s="27" t="n">
        <f>0.505</f>
        <v>0.505</v>
      </c>
    </row>
    <row r="20" spans="1:9" ht="24.9" customHeight="1">
      <c r="A20" s="41"/>
      <c r="B20" s="39" t="s">
        <v>21</v>
      </c>
      <c r="C20" s="16" t="s">
        <v>15</v>
      </c>
      <c r="D20" s="17" t="n">
        <f>829781.0</f>
        <v>829781.0</v>
      </c>
      <c r="E20" s="18" t="n">
        <f>47483.0</f>
        <v>47483.0</v>
      </c>
      <c r="F20" s="19" t="n">
        <f>0.934</f>
        <v>0.934</v>
      </c>
      <c r="G20" s="17" t="n">
        <f>4365040523140.0</f>
        <v>4.36504052314E12</v>
      </c>
      <c r="H20" s="18" t="n">
        <f>562389782890.0</f>
        <v>5.6238978289E11</v>
      </c>
      <c r="I20" s="19" t="n">
        <f>0.467</f>
        <v>0.467</v>
      </c>
    </row>
    <row r="21" spans="1:9" ht="24.9" customHeight="1">
      <c r="A21" s="41"/>
      <c r="B21" s="39"/>
      <c r="C21" s="20" t="s">
        <v>16</v>
      </c>
      <c r="D21" s="21" t="n">
        <f>372368.0</f>
        <v>372368.0</v>
      </c>
      <c r="E21" s="22" t="n">
        <f>17820.0</f>
        <v>17820.0</v>
      </c>
      <c r="F21" s="23" t="n">
        <f>0.874</f>
        <v>0.874</v>
      </c>
      <c r="G21" s="21" t="n">
        <f>2638740328220.0</f>
        <v>2.63874032822E12</v>
      </c>
      <c r="H21" s="22" t="n">
        <f>207751991320.0</f>
        <v>2.0775199132E11</v>
      </c>
      <c r="I21" s="23" t="n">
        <f>0.355</f>
        <v>0.355</v>
      </c>
    </row>
    <row r="22" spans="1:9" ht="24.9" customHeight="1">
      <c r="A22" s="41"/>
      <c r="B22" s="39"/>
      <c r="C22" s="20" t="s">
        <v>17</v>
      </c>
      <c r="D22" s="21" t="n">
        <f>485524.0</f>
        <v>485524.0</v>
      </c>
      <c r="E22" s="22" t="n">
        <f>106672.0</f>
        <v>106672.0</v>
      </c>
      <c r="F22" s="23" t="n">
        <f>0.92</f>
        <v>0.92</v>
      </c>
      <c r="G22" s="21" t="n">
        <f>5883333573606.0</f>
        <v>5.883333573606E12</v>
      </c>
      <c r="H22" s="22" t="n">
        <f>2338327806356.0</f>
        <v>2.338327806356E12</v>
      </c>
      <c r="I22" s="23" t="n">
        <f>0.594</f>
        <v>0.594</v>
      </c>
    </row>
    <row r="23" spans="1:9" ht="24.9" customHeight="1">
      <c r="A23" s="41"/>
      <c r="B23" s="39"/>
      <c r="C23" s="24" t="s">
        <v>18</v>
      </c>
      <c r="D23" s="25" t="n">
        <f>1687673.0</f>
        <v>1687673.0</v>
      </c>
      <c r="E23" s="26" t="n">
        <f>171975.0</f>
        <v>171975.0</v>
      </c>
      <c r="F23" s="27" t="n">
        <f>0.916</f>
        <v>0.916</v>
      </c>
      <c r="G23" s="25" t="n">
        <f>12887114424966.0</f>
        <v>1.2887114424966E13</v>
      </c>
      <c r="H23" s="26" t="n">
        <f>3108469580566.0</f>
        <v>3.108469580566E12</v>
      </c>
      <c r="I23" s="27" t="n">
        <f>0.483</f>
        <v>0.483</v>
      </c>
    </row>
    <row r="24" spans="1:9" ht="24.9" customHeight="1">
      <c r="A24" s="41"/>
      <c r="B24" s="39" t="s">
        <v>22</v>
      </c>
      <c r="C24" s="16" t="s">
        <v>15</v>
      </c>
      <c r="D24" s="17" t="n">
        <f>19577.0</f>
        <v>19577.0</v>
      </c>
      <c r="E24" s="18" t="n">
        <f>0.0</f>
        <v>0.0</v>
      </c>
      <c r="F24" s="19" t="n">
        <f>0.022</f>
        <v>0.022</v>
      </c>
      <c r="G24" s="17" t="n">
        <f>177971278800.0</f>
        <v>1.779712788E11</v>
      </c>
      <c r="H24" s="18" t="n">
        <f>0.0</f>
        <v>0.0</v>
      </c>
      <c r="I24" s="19" t="n">
        <f>0.019</f>
        <v>0.019</v>
      </c>
    </row>
    <row r="25" spans="1:9" ht="24.9" customHeight="1">
      <c r="A25" s="41"/>
      <c r="B25" s="39"/>
      <c r="C25" s="20" t="s">
        <v>16</v>
      </c>
      <c r="D25" s="21" t="n">
        <f>6283.0</f>
        <v>6283.0</v>
      </c>
      <c r="E25" s="22" t="n">
        <f>0.0</f>
        <v>0.0</v>
      </c>
      <c r="F25" s="23" t="n">
        <f>0.015</f>
        <v>0.015</v>
      </c>
      <c r="G25" s="21" t="n">
        <f>62946766300.0</f>
        <v>6.29467663E10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8231.0</f>
        <v>8231.0</v>
      </c>
      <c r="E26" s="22" t="n">
        <f>0.0</f>
        <v>0.0</v>
      </c>
      <c r="F26" s="23" t="n">
        <f>0.016</f>
        <v>0.016</v>
      </c>
      <c r="G26" s="21" t="n">
        <f>71376291850.0</f>
        <v>7.137629185E10</v>
      </c>
      <c r="H26" s="22" t="n">
        <f>0.0</f>
        <v>0.0</v>
      </c>
      <c r="I26" s="23" t="n">
        <f>0.007</f>
        <v>0.007</v>
      </c>
    </row>
    <row r="27" spans="1:9" ht="24.9" customHeight="1">
      <c r="A27" s="42"/>
      <c r="B27" s="39"/>
      <c r="C27" s="24" t="s">
        <v>18</v>
      </c>
      <c r="D27" s="25" t="n">
        <f>34091.0</f>
        <v>34091.0</v>
      </c>
      <c r="E27" s="26" t="n">
        <f>0.0</f>
        <v>0.0</v>
      </c>
      <c r="F27" s="27" t="n">
        <f>0.018</f>
        <v>0.018</v>
      </c>
      <c r="G27" s="25" t="n">
        <f>312294336950.0</f>
        <v>3.1229433695E11</v>
      </c>
      <c r="H27" s="26" t="n">
        <f>0.0</f>
        <v>0.0</v>
      </c>
      <c r="I27" s="27" t="n">
        <f>0.012</f>
        <v>0.012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151.0</f>
        <v>151.0</v>
      </c>
      <c r="E28" s="18" t="n">
        <f>0.0</f>
        <v>0.0</v>
      </c>
      <c r="F28" s="19" t="n">
        <f>0.0</f>
        <v>0.0</v>
      </c>
      <c r="G28" s="17" t="n">
        <f>598177000.0</f>
        <v>5.98177E8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222.0</f>
        <v>222.0</v>
      </c>
      <c r="E29" s="22" t="n">
        <f>0.0</f>
        <v>0.0</v>
      </c>
      <c r="F29" s="23" t="n">
        <f>0.001</f>
        <v>0.001</v>
      </c>
      <c r="G29" s="21" t="n">
        <f>849140500.0</f>
        <v>8.491405E8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1578.0</f>
        <v>1578.0</v>
      </c>
      <c r="E30" s="22" t="n">
        <f>200.0</f>
        <v>200.0</v>
      </c>
      <c r="F30" s="23" t="n">
        <f>0.003</f>
        <v>0.003</v>
      </c>
      <c r="G30" s="21" t="n">
        <f>5287960400.0</f>
        <v>5.2879604E9</v>
      </c>
      <c r="H30" s="22" t="n">
        <f>352656000.0</f>
        <v>3.52656E8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1951.0</f>
        <v>1951.0</v>
      </c>
      <c r="E31" s="26" t="n">
        <f>200.0</f>
        <v>200.0</v>
      </c>
      <c r="F31" s="27" t="n">
        <f>0.001</f>
        <v>0.001</v>
      </c>
      <c r="G31" s="25" t="n">
        <f>6735277900.0</f>
        <v>6.7352779E9</v>
      </c>
      <c r="H31" s="26" t="n">
        <f>352656000.0</f>
        <v>3.52656E8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31147</f>
        <v>31147.0</v>
      </c>
      <c r="E11" s="18" t="n">
        <f>14749</f>
        <v>14749.0</v>
      </c>
      <c r="F11" s="19" t="n">
        <f>1</f>
        <v>1.0</v>
      </c>
      <c r="G11" s="17" t="n">
        <f>119944810410</f>
        <v>1.1994481041E11</v>
      </c>
      <c r="H11" s="18" t="n">
        <f>118806590610</f>
        <v>1.1880659061E11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27157</f>
        <v>27157.0</v>
      </c>
      <c r="E12" s="22" t="n">
        <f>6735</f>
        <v>6735.0</v>
      </c>
      <c r="F12" s="23" t="n">
        <f>1</f>
        <v>1.0</v>
      </c>
      <c r="G12" s="21" t="n">
        <f>5007867560</f>
        <v>5.00786756E9</v>
      </c>
      <c r="H12" s="22" t="n">
        <f>3943492560</f>
        <v>3.94349256E9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54605</f>
        <v>54605.0</v>
      </c>
      <c r="E13" s="22" t="n">
        <f>37825</f>
        <v>37825.0</v>
      </c>
      <c r="F13" s="23" t="n">
        <f>1</f>
        <v>1.0</v>
      </c>
      <c r="G13" s="21" t="n">
        <f>21693003845</f>
        <v>2.1693003845E10</v>
      </c>
      <c r="H13" s="22" t="n">
        <f>19647012260</f>
        <v>1.964701226E10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112909</f>
        <v>112909.0</v>
      </c>
      <c r="E14" s="26" t="n">
        <f>59309</f>
        <v>59309.0</v>
      </c>
      <c r="F14" s="27" t="n">
        <f>1</f>
        <v>1.0</v>
      </c>
      <c r="G14" s="25" t="n">
        <f>146645681815</f>
        <v>1.46645681815E11</v>
      </c>
      <c r="H14" s="26" t="n">
        <f>142397095430</f>
        <v>1.4239709543E11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</f>
        <v>1.0</v>
      </c>
      <c r="E15" s="18" t="n">
        <f>0</f>
        <v>0.0</v>
      </c>
      <c r="F15" s="19" t="n">
        <f>0</f>
        <v>0.0</v>
      </c>
      <c r="G15" s="17" t="n">
        <f>100000</f>
        <v>100000.0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85</f>
        <v>85.0</v>
      </c>
      <c r="E16" s="22" t="n">
        <f>50</f>
        <v>50.0</v>
      </c>
      <c r="F16" s="23" t="n">
        <f>0.003</f>
        <v>0.003</v>
      </c>
      <c r="G16" s="21" t="n">
        <f>17350000</f>
        <v>1.735E7</v>
      </c>
      <c r="H16" s="22" t="n">
        <f>11100000</f>
        <v>1.11E7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225</f>
        <v>225.0</v>
      </c>
      <c r="E17" s="22" t="n">
        <f>0</f>
        <v>0.0</v>
      </c>
      <c r="F17" s="23" t="n">
        <f>0.004</f>
        <v>0.004</v>
      </c>
      <c r="G17" s="21" t="n">
        <f>50600000</f>
        <v>5.06E7</v>
      </c>
      <c r="H17" s="22" t="n">
        <f>0</f>
        <v>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311</f>
        <v>311.0</v>
      </c>
      <c r="E18" s="26" t="n">
        <f>50</f>
        <v>50.0</v>
      </c>
      <c r="F18" s="27" t="n">
        <f>0.003</f>
        <v>0.003</v>
      </c>
      <c r="G18" s="25" t="n">
        <f>68050000</f>
        <v>6.805E7</v>
      </c>
      <c r="H18" s="26" t="n">
        <f>11100000</f>
        <v>1.11E7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31146</f>
        <v>31146.0</v>
      </c>
      <c r="E19" s="18" t="n">
        <f>14749</f>
        <v>14749.0</v>
      </c>
      <c r="F19" s="19" t="n">
        <f>1</f>
        <v>1.0</v>
      </c>
      <c r="G19" s="17" t="n">
        <f>119944710410</f>
        <v>1.1994471041E11</v>
      </c>
      <c r="H19" s="18" t="n">
        <f>118806590610</f>
        <v>1.1880659061E11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15998</f>
        <v>15998.0</v>
      </c>
      <c r="E20" s="22" t="n">
        <f>4935</f>
        <v>4935.0</v>
      </c>
      <c r="F20" s="23" t="n">
        <f>0.589</f>
        <v>0.589</v>
      </c>
      <c r="G20" s="21" t="n">
        <f>4959369560</f>
        <v>4.95936956E9</v>
      </c>
      <c r="H20" s="22" t="n">
        <f>3922263560</f>
        <v>3.92226356E9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43977</f>
        <v>43977.0</v>
      </c>
      <c r="E21" s="22" t="n">
        <f>28225</f>
        <v>28225.0</v>
      </c>
      <c r="F21" s="23" t="n">
        <f>0.805</f>
        <v>0.805</v>
      </c>
      <c r="G21" s="21" t="n">
        <f>21575485560</f>
        <v>2.157548556E10</v>
      </c>
      <c r="H21" s="22" t="n">
        <f>19591332260</f>
        <v>1.959133226E10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91121</f>
        <v>91121.0</v>
      </c>
      <c r="E22" s="26" t="n">
        <f>47909</f>
        <v>47909.0</v>
      </c>
      <c r="F22" s="27" t="n">
        <f>0.807</f>
        <v>0.807</v>
      </c>
      <c r="G22" s="25" t="n">
        <f>146479565530</f>
        <v>1.4647956553E11</v>
      </c>
      <c r="H22" s="26" t="n">
        <f>142320186430</f>
        <v>1.4232018643E11</v>
      </c>
      <c r="I22" s="27" t="n">
        <f>0.999</f>
        <v>0.999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11074</f>
        <v>11074.0</v>
      </c>
      <c r="E24" s="22" t="n">
        <f>1750</f>
        <v>1750.0</v>
      </c>
      <c r="F24" s="23" t="n">
        <f>0.408</f>
        <v>0.408</v>
      </c>
      <c r="G24" s="21" t="n">
        <f>31148000</f>
        <v>3.1148E7</v>
      </c>
      <c r="H24" s="22" t="n">
        <f>10129000</f>
        <v>1.0129E7</v>
      </c>
      <c r="I24" s="23" t="n">
        <f>0.006</f>
        <v>0.006</v>
      </c>
    </row>
    <row r="25" spans="1:9" ht="24.9" customHeight="1">
      <c r="A25" s="41"/>
      <c r="B25" s="39"/>
      <c r="C25" s="20" t="s">
        <v>17</v>
      </c>
      <c r="D25" s="21" t="n">
        <f>10403</f>
        <v>10403.0</v>
      </c>
      <c r="E25" s="22" t="n">
        <f>9600</f>
        <v>9600.0</v>
      </c>
      <c r="F25" s="23" t="n">
        <f>0.191</f>
        <v>0.191</v>
      </c>
      <c r="G25" s="21" t="n">
        <f>66918285</f>
        <v>6.6918285E7</v>
      </c>
      <c r="H25" s="22" t="n">
        <f>55680000</f>
        <v>5.568E7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21477</f>
        <v>21477.0</v>
      </c>
      <c r="E26" s="26" t="n">
        <f>11350</f>
        <v>11350.0</v>
      </c>
      <c r="F26" s="27" t="n">
        <f>0.19</f>
        <v>0.19</v>
      </c>
      <c r="G26" s="25" t="n">
        <f>98066285</f>
        <v>9.8066285E7</v>
      </c>
      <c r="H26" s="26" t="n">
        <f>65809000</f>
        <v>6.5809E7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12033.0</v>
      </c>
      <c r="F12" s="18" t="n">
        <f>1196</f>
        <v>1196.0</v>
      </c>
      <c r="G12" s="17" t="n">
        <v>7.7249109314E11</v>
      </c>
      <c r="H12" s="18" t="n">
        <f>76761500140</f>
        <v>7.676150014E10</v>
      </c>
    </row>
    <row r="13" spans="1:8" ht="24.9" customHeight="1">
      <c r="A13" s="51"/>
      <c r="B13" s="57"/>
      <c r="C13" s="39"/>
      <c r="D13" s="20" t="s">
        <v>16</v>
      </c>
      <c r="E13" s="21" t="n">
        <v>10228.0</v>
      </c>
      <c r="F13" s="22" t="n">
        <f>1189</f>
        <v>1189.0</v>
      </c>
      <c r="G13" s="21" t="n">
        <v>6.613625674E11</v>
      </c>
      <c r="H13" s="22" t="n">
        <f>76840043400</f>
        <v>7.68400434E10</v>
      </c>
    </row>
    <row r="14" spans="1:8" ht="24.9" customHeight="1">
      <c r="A14" s="51"/>
      <c r="B14" s="57"/>
      <c r="C14" s="39"/>
      <c r="D14" s="20" t="s">
        <v>17</v>
      </c>
      <c r="E14" s="21" t="n">
        <v>23479.0</v>
      </c>
      <c r="F14" s="22" t="n">
        <f>7050</f>
        <v>7050.0</v>
      </c>
      <c r="G14" s="21" t="n">
        <v>1.5254168855E12</v>
      </c>
      <c r="H14" s="22" t="n">
        <f>457799651500</f>
        <v>4.577996515E11</v>
      </c>
    </row>
    <row r="15" spans="1:8" ht="24.9" customHeight="1">
      <c r="A15" s="51"/>
      <c r="B15" s="57"/>
      <c r="C15" s="39"/>
      <c r="D15" s="24" t="s">
        <v>18</v>
      </c>
      <c r="E15" s="25" t="n">
        <v>45740.0</v>
      </c>
      <c r="F15" s="26" t="n">
        <f>9435</f>
        <v>9435.0</v>
      </c>
      <c r="G15" s="25" t="n">
        <v>2.95927054604E12</v>
      </c>
      <c r="H15" s="26" t="n">
        <f>611401195040</f>
        <v>6.1140119504E11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341346.0</v>
      </c>
      <c r="F16" s="18" t="n">
        <f>40220</f>
        <v>40220.0</v>
      </c>
      <c r="G16" s="17" t="n">
        <v>2.1896161238E12</v>
      </c>
      <c r="H16" s="18" t="n">
        <f>257824400100</f>
        <v>2.578244001E11</v>
      </c>
    </row>
    <row r="17" spans="1:8" ht="24.9" customHeight="1">
      <c r="A17" s="51"/>
      <c r="B17" s="57"/>
      <c r="C17" s="39"/>
      <c r="D17" s="20" t="s">
        <v>16</v>
      </c>
      <c r="E17" s="21" t="n">
        <v>148220.0</v>
      </c>
      <c r="F17" s="22" t="n">
        <f>15602</f>
        <v>15602.0</v>
      </c>
      <c r="G17" s="21" t="n">
        <v>9.5821924658E11</v>
      </c>
      <c r="H17" s="22" t="n">
        <f>100851018480</f>
        <v>1.0085101848E11</v>
      </c>
    </row>
    <row r="18" spans="1:8" ht="24.9" customHeight="1">
      <c r="A18" s="51"/>
      <c r="B18" s="57"/>
      <c r="C18" s="39"/>
      <c r="D18" s="20" t="s">
        <v>17</v>
      </c>
      <c r="E18" s="21" t="n">
        <v>169276.0</v>
      </c>
      <c r="F18" s="22" t="n">
        <f>20297</f>
        <v>20297.0</v>
      </c>
      <c r="G18" s="21" t="n">
        <v>1.09937532881E12</v>
      </c>
      <c r="H18" s="22" t="n">
        <f>131674331110</f>
        <v>1.3167433111E11</v>
      </c>
    </row>
    <row r="19" spans="1:8" ht="24.9" customHeight="1">
      <c r="A19" s="51"/>
      <c r="B19" s="57"/>
      <c r="C19" s="39"/>
      <c r="D19" s="24" t="s">
        <v>18</v>
      </c>
      <c r="E19" s="25" t="n">
        <v>658842.0</v>
      </c>
      <c r="F19" s="26" t="n">
        <f>76119</f>
        <v>76119.0</v>
      </c>
      <c r="G19" s="25" t="n">
        <v>4.24721069919E12</v>
      </c>
      <c r="H19" s="26" t="n">
        <f>490349749690</f>
        <v>4.9034974969E11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440296.0</v>
      </c>
      <c r="F20" s="18" t="str">
        <f>"－"</f>
        <v>－</v>
      </c>
      <c r="G20" s="17" t="n">
        <v>2.8231827705E11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182293.0</v>
      </c>
      <c r="F21" s="22" t="str">
        <f>"－"</f>
        <v>－</v>
      </c>
      <c r="G21" s="21" t="n">
        <v>1.1781520915E11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169316.0</v>
      </c>
      <c r="F22" s="22" t="str">
        <f>"－"</f>
        <v>－</v>
      </c>
      <c r="G22" s="21" t="n">
        <v>1.099432611E11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791905.0</v>
      </c>
      <c r="F23" s="26" t="str">
        <f>"－"</f>
        <v>－</v>
      </c>
      <c r="G23" s="25" t="n">
        <v>5.100767473E11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26536.0</v>
      </c>
      <c r="F24" s="18" t="n">
        <f>5496</f>
        <v>5496.0</v>
      </c>
      <c r="G24" s="17" t="n">
        <v>1.0867283033E12</v>
      </c>
      <c r="H24" s="18" t="n">
        <f>225512506300</f>
        <v>2.255125063E11</v>
      </c>
    </row>
    <row r="25" spans="1:8" ht="24.9" customHeight="1">
      <c r="A25" s="51"/>
      <c r="B25" s="57"/>
      <c r="C25" s="39"/>
      <c r="D25" s="20" t="s">
        <v>16</v>
      </c>
      <c r="E25" s="21" t="n">
        <v>21202.0</v>
      </c>
      <c r="F25" s="22" t="n">
        <f>703</f>
        <v>703.0</v>
      </c>
      <c r="G25" s="21" t="n">
        <v>8.671837666E11</v>
      </c>
      <c r="H25" s="22" t="n">
        <f>28728794600</f>
        <v>2.87287946E10</v>
      </c>
    </row>
    <row r="26" spans="1:8" ht="24.9" customHeight="1">
      <c r="A26" s="51"/>
      <c r="B26" s="57"/>
      <c r="C26" s="39"/>
      <c r="D26" s="20" t="s">
        <v>17</v>
      </c>
      <c r="E26" s="21" t="n">
        <v>68148.0</v>
      </c>
      <c r="F26" s="22" t="n">
        <f>34818</f>
        <v>34818.0</v>
      </c>
      <c r="G26" s="21" t="n">
        <v>2.790821021436E12</v>
      </c>
      <c r="H26" s="22" t="n">
        <f>1425316920436</f>
        <v>1.425316920436E12</v>
      </c>
    </row>
    <row r="27" spans="1:8" ht="24.9" customHeight="1">
      <c r="A27" s="51"/>
      <c r="B27" s="57"/>
      <c r="C27" s="39"/>
      <c r="D27" s="24" t="s">
        <v>18</v>
      </c>
      <c r="E27" s="25" t="n">
        <v>115886.0</v>
      </c>
      <c r="F27" s="26" t="n">
        <f>41017</f>
        <v>41017.0</v>
      </c>
      <c r="G27" s="25" t="n">
        <v>4.744733091336E12</v>
      </c>
      <c r="H27" s="26" t="n">
        <f>1679558221336</f>
        <v>1.679558221336E12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6691.0</v>
      </c>
      <c r="F28" s="18" t="n">
        <f>551</f>
        <v>551.0</v>
      </c>
      <c r="G28" s="17" t="n">
        <v>2.737478155E10</v>
      </c>
      <c r="H28" s="18" t="n">
        <f>2252641550</f>
        <v>2.25264155E9</v>
      </c>
    </row>
    <row r="29" spans="1:8" ht="24.9" customHeight="1">
      <c r="A29" s="51"/>
      <c r="B29" s="57"/>
      <c r="C29" s="39"/>
      <c r="D29" s="20" t="s">
        <v>16</v>
      </c>
      <c r="E29" s="21" t="n">
        <v>6163.0</v>
      </c>
      <c r="F29" s="22" t="n">
        <f>284</f>
        <v>284.0</v>
      </c>
      <c r="G29" s="21" t="n">
        <v>2.52421944E10</v>
      </c>
      <c r="H29" s="22" t="n">
        <f>1162608450</f>
        <v>1.16260845E9</v>
      </c>
    </row>
    <row r="30" spans="1:8" ht="24.9" customHeight="1">
      <c r="A30" s="51"/>
      <c r="B30" s="57"/>
      <c r="C30" s="39"/>
      <c r="D30" s="20" t="s">
        <v>17</v>
      </c>
      <c r="E30" s="21" t="n">
        <v>6471.0</v>
      </c>
      <c r="F30" s="22" t="n">
        <f>218</f>
        <v>218.0</v>
      </c>
      <c r="G30" s="21" t="n">
        <v>2.654186915E10</v>
      </c>
      <c r="H30" s="22" t="n">
        <f>894631900</f>
        <v>8.946319E8</v>
      </c>
    </row>
    <row r="31" spans="1:8" ht="24.9" customHeight="1">
      <c r="A31" s="51"/>
      <c r="B31" s="57"/>
      <c r="C31" s="39"/>
      <c r="D31" s="24" t="s">
        <v>18</v>
      </c>
      <c r="E31" s="25" t="n">
        <v>19325.0</v>
      </c>
      <c r="F31" s="26" t="n">
        <f>1053</f>
        <v>1053.0</v>
      </c>
      <c r="G31" s="25" t="n">
        <v>7.91588451E10</v>
      </c>
      <c r="H31" s="26" t="n">
        <f>4309881900</f>
        <v>4.3098819E9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66.0</v>
      </c>
      <c r="F34" s="22" t="n">
        <f>66</f>
        <v>66.0</v>
      </c>
      <c r="G34" s="21" t="n">
        <v>1.128468E8</v>
      </c>
      <c r="H34" s="22" t="n">
        <f>112846800</f>
        <v>1.128468E8</v>
      </c>
    </row>
    <row r="35" spans="1:8" ht="24.9" customHeight="1">
      <c r="A35" s="51"/>
      <c r="B35" s="57"/>
      <c r="C35" s="39"/>
      <c r="D35" s="24" t="s">
        <v>18</v>
      </c>
      <c r="E35" s="25" t="n">
        <v>66.0</v>
      </c>
      <c r="F35" s="26" t="n">
        <f>66</f>
        <v>66.0</v>
      </c>
      <c r="G35" s="25" t="n">
        <v>1.128468E8</v>
      </c>
      <c r="H35" s="26" t="n">
        <f>112846800</f>
        <v>1.128468E8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585.0</v>
      </c>
      <c r="F36" s="18" t="n">
        <f>1</f>
        <v>1.0</v>
      </c>
      <c r="G36" s="17" t="n">
        <v>2.155242E9</v>
      </c>
      <c r="H36" s="18" t="n">
        <f>3683000</f>
        <v>3683000.0</v>
      </c>
    </row>
    <row r="37" spans="1:8" ht="24.9" customHeight="1">
      <c r="A37" s="51"/>
      <c r="B37" s="57"/>
      <c r="C37" s="39"/>
      <c r="D37" s="20" t="s">
        <v>16</v>
      </c>
      <c r="E37" s="21" t="n">
        <v>1411.0</v>
      </c>
      <c r="F37" s="22" t="n">
        <f>1</f>
        <v>1.0</v>
      </c>
      <c r="G37" s="21" t="n">
        <v>5.19270199E9</v>
      </c>
      <c r="H37" s="22" t="n">
        <f>3673990</f>
        <v>3673990.0</v>
      </c>
    </row>
    <row r="38" spans="1:8" ht="24.9" customHeight="1">
      <c r="A38" s="51"/>
      <c r="B38" s="57"/>
      <c r="C38" s="39"/>
      <c r="D38" s="20" t="s">
        <v>17</v>
      </c>
      <c r="E38" s="21" t="n">
        <v>1426.0</v>
      </c>
      <c r="F38" s="22" t="n">
        <f>367</f>
        <v>367.0</v>
      </c>
      <c r="G38" s="21" t="n">
        <v>5.25723165E9</v>
      </c>
      <c r="H38" s="22" t="n">
        <f>1352416650</f>
        <v>1.35241665E9</v>
      </c>
    </row>
    <row r="39" spans="1:8" ht="24.9" customHeight="1">
      <c r="A39" s="51"/>
      <c r="B39" s="57"/>
      <c r="C39" s="39"/>
      <c r="D39" s="24" t="s">
        <v>18</v>
      </c>
      <c r="E39" s="25" t="n">
        <v>3422.0</v>
      </c>
      <c r="F39" s="26" t="n">
        <f>369</f>
        <v>369.0</v>
      </c>
      <c r="G39" s="25" t="n">
        <v>1.260517564E10</v>
      </c>
      <c r="H39" s="26" t="n">
        <f>1359773640</f>
        <v>1.35977364E9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336.0</v>
      </c>
      <c r="F42" s="22" t="n">
        <f>336</f>
        <v>336.0</v>
      </c>
      <c r="G42" s="21" t="n">
        <v>7.192416E8</v>
      </c>
      <c r="H42" s="22" t="n">
        <f>719241600</f>
        <v>7.192416E8</v>
      </c>
    </row>
    <row r="43" spans="1:8" ht="24.9" customHeight="1">
      <c r="A43" s="51"/>
      <c r="B43" s="57"/>
      <c r="C43" s="39"/>
      <c r="D43" s="24" t="s">
        <v>18</v>
      </c>
      <c r="E43" s="25" t="n">
        <v>336.0</v>
      </c>
      <c r="F43" s="26" t="n">
        <f>336</f>
        <v>336.0</v>
      </c>
      <c r="G43" s="25" t="n">
        <v>7.192416E8</v>
      </c>
      <c r="H43" s="26" t="n">
        <f>719241600</f>
        <v>7.192416E8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18.0</v>
      </c>
      <c r="F45" s="22" t="n">
        <f>18</f>
        <v>18.0</v>
      </c>
      <c r="G45" s="21" t="n">
        <v>1.386E8</v>
      </c>
      <c r="H45" s="22" t="n">
        <f>138600000</f>
        <v>1.386E8</v>
      </c>
    </row>
    <row r="46" spans="1:8" ht="24.9" customHeight="1">
      <c r="A46" s="51"/>
      <c r="B46" s="57"/>
      <c r="C46" s="39"/>
      <c r="D46" s="20" t="s">
        <v>17</v>
      </c>
      <c r="E46" s="21" t="n">
        <v>40697.0</v>
      </c>
      <c r="F46" s="22" t="n">
        <f>40697</f>
        <v>40697.0</v>
      </c>
      <c r="G46" s="21" t="n">
        <v>3.160159995E11</v>
      </c>
      <c r="H46" s="22" t="n">
        <f>316015999500</f>
        <v>3.160159995E11</v>
      </c>
    </row>
    <row r="47" spans="1:8" ht="24.9" customHeight="1">
      <c r="A47" s="51"/>
      <c r="B47" s="57"/>
      <c r="C47" s="39"/>
      <c r="D47" s="24" t="s">
        <v>18</v>
      </c>
      <c r="E47" s="25" t="n">
        <v>40715.0</v>
      </c>
      <c r="F47" s="26" t="n">
        <f>40715</f>
        <v>40715.0</v>
      </c>
      <c r="G47" s="25" t="n">
        <v>3.161545995E11</v>
      </c>
      <c r="H47" s="26" t="n">
        <f>316154599500</f>
        <v>3.161545995E11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3566000.0</v>
      </c>
      <c r="H48" s="18" t="n">
        <f>3566000</f>
        <v>3566000.0</v>
      </c>
    </row>
    <row r="49" spans="1:8" ht="24.9" customHeight="1">
      <c r="A49" s="51"/>
      <c r="B49" s="57"/>
      <c r="C49" s="39"/>
      <c r="D49" s="20" t="s">
        <v>16</v>
      </c>
      <c r="E49" s="21" t="n">
        <v>1067.0</v>
      </c>
      <c r="F49" s="22" t="n">
        <f>0</f>
        <v>0.0</v>
      </c>
      <c r="G49" s="21" t="n">
        <v>1.8918472E9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3777.0</v>
      </c>
      <c r="F50" s="22" t="n">
        <f>2242</f>
        <v>2242.0</v>
      </c>
      <c r="G50" s="21" t="n">
        <v>6.69897486E9</v>
      </c>
      <c r="H50" s="22" t="n">
        <f>3973125660</f>
        <v>3.97312566E9</v>
      </c>
    </row>
    <row r="51" spans="1:8" ht="24.9" customHeight="1">
      <c r="A51" s="51"/>
      <c r="B51" s="57"/>
      <c r="C51" s="39"/>
      <c r="D51" s="24" t="s">
        <v>18</v>
      </c>
      <c r="E51" s="25" t="n">
        <v>4846.0</v>
      </c>
      <c r="F51" s="26" t="n">
        <f>2244</f>
        <v>2244.0</v>
      </c>
      <c r="G51" s="25" t="n">
        <v>8.59438806E9</v>
      </c>
      <c r="H51" s="26" t="n">
        <f>3976691660</f>
        <v>3.97669166E9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960.0</v>
      </c>
      <c r="F56" s="18" t="n">
        <f>13</f>
        <v>13.0</v>
      </c>
      <c r="G56" s="17" t="n">
        <v>7.464209E8</v>
      </c>
      <c r="H56" s="18" t="n">
        <f>10073900</f>
        <v>1.00739E7</v>
      </c>
    </row>
    <row r="57" spans="1:8" ht="24.9" customHeight="1">
      <c r="A57" s="51"/>
      <c r="B57" s="57"/>
      <c r="C57" s="39"/>
      <c r="D57" s="20" t="s">
        <v>16</v>
      </c>
      <c r="E57" s="21" t="n">
        <v>1684.0</v>
      </c>
      <c r="F57" s="22" t="n">
        <f>21</f>
        <v>21.0</v>
      </c>
      <c r="G57" s="21" t="n">
        <v>1.3161584E9</v>
      </c>
      <c r="H57" s="22" t="n">
        <f>16502400</f>
        <v>1.65024E7</v>
      </c>
    </row>
    <row r="58" spans="1:8" ht="24.9" customHeight="1">
      <c r="A58" s="51"/>
      <c r="B58" s="57"/>
      <c r="C58" s="39"/>
      <c r="D58" s="20" t="s">
        <v>17</v>
      </c>
      <c r="E58" s="21" t="n">
        <v>2417.0</v>
      </c>
      <c r="F58" s="22" t="n">
        <f>578</f>
        <v>578.0</v>
      </c>
      <c r="G58" s="21" t="n">
        <v>1.9021315E9</v>
      </c>
      <c r="H58" s="22" t="n">
        <f>452512500</f>
        <v>4.525125E8</v>
      </c>
    </row>
    <row r="59" spans="1:8" ht="24.9" customHeight="1">
      <c r="A59" s="51"/>
      <c r="B59" s="57"/>
      <c r="C59" s="39"/>
      <c r="D59" s="24" t="s">
        <v>18</v>
      </c>
      <c r="E59" s="25" t="n">
        <v>5061.0</v>
      </c>
      <c r="F59" s="26" t="n">
        <f>612</f>
        <v>612.0</v>
      </c>
      <c r="G59" s="25" t="n">
        <v>3.9647108E9</v>
      </c>
      <c r="H59" s="26" t="n">
        <f>479088800</f>
        <v>4.790888E8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373.0</v>
      </c>
      <c r="F60" s="18" t="n">
        <f>4</f>
        <v>4.0</v>
      </c>
      <c r="G60" s="17" t="n">
        <v>1.9945785E9</v>
      </c>
      <c r="H60" s="18" t="n">
        <f>21411900</f>
        <v>2.14119E7</v>
      </c>
    </row>
    <row r="61" spans="1:8" ht="24.9" customHeight="1">
      <c r="A61" s="51"/>
      <c r="B61" s="57"/>
      <c r="C61" s="39"/>
      <c r="D61" s="20" t="s">
        <v>16</v>
      </c>
      <c r="E61" s="21" t="n">
        <v>64.0</v>
      </c>
      <c r="F61" s="22" t="n">
        <f>2</f>
        <v>2.0</v>
      </c>
      <c r="G61" s="21" t="n">
        <v>3.436777E8</v>
      </c>
      <c r="H61" s="22" t="n">
        <f>10750000</f>
        <v>1.075E7</v>
      </c>
    </row>
    <row r="62" spans="1:8" ht="24.9" customHeight="1">
      <c r="A62" s="51"/>
      <c r="B62" s="57"/>
      <c r="C62" s="39"/>
      <c r="D62" s="20" t="s">
        <v>17</v>
      </c>
      <c r="E62" s="21" t="n">
        <v>89.0</v>
      </c>
      <c r="F62" s="22" t="n">
        <f>3</f>
        <v>3.0</v>
      </c>
      <c r="G62" s="21" t="n">
        <v>4.787552E8</v>
      </c>
      <c r="H62" s="22" t="n">
        <f>16128700</f>
        <v>1.61287E7</v>
      </c>
    </row>
    <row r="63" spans="1:8" ht="24.9" customHeight="1">
      <c r="A63" s="51"/>
      <c r="B63" s="57"/>
      <c r="C63" s="39"/>
      <c r="D63" s="24" t="s">
        <v>18</v>
      </c>
      <c r="E63" s="25" t="n">
        <v>526.0</v>
      </c>
      <c r="F63" s="26" t="n">
        <f>9</f>
        <v>9.0</v>
      </c>
      <c r="G63" s="25" t="n">
        <v>2.8170114E9</v>
      </c>
      <c r="H63" s="26" t="n">
        <f>48290600</f>
        <v>4.82906E7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277000.0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280000.0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557000.0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802.0</v>
      </c>
      <c r="F92" s="18" t="n">
        <f>0</f>
        <v>0.0</v>
      </c>
      <c r="G92" s="17" t="n">
        <v>1.2479753E9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7.0</v>
      </c>
      <c r="F93" s="22" t="n">
        <f>0</f>
        <v>0.0</v>
      </c>
      <c r="G93" s="21" t="n">
        <v>1.08998E7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11.0</v>
      </c>
      <c r="F94" s="22" t="n">
        <f>0</f>
        <v>0.0</v>
      </c>
      <c r="G94" s="21" t="n">
        <v>1.71835E7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820.0</v>
      </c>
      <c r="F95" s="26" t="n">
        <f>0</f>
        <v>0.0</v>
      </c>
      <c r="G95" s="25" t="n">
        <v>1.2760586E9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157.0</v>
      </c>
      <c r="F96" s="18" t="n">
        <f>0</f>
        <v>0.0</v>
      </c>
      <c r="G96" s="17" t="n">
        <v>3.641616E8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10.0</v>
      </c>
      <c r="F97" s="22" t="n">
        <f>0</f>
        <v>0.0</v>
      </c>
      <c r="G97" s="21" t="n">
        <v>2.3182E7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14.0</v>
      </c>
      <c r="F98" s="22" t="n">
        <f>0</f>
        <v>0.0</v>
      </c>
      <c r="G98" s="21" t="n">
        <v>3.2563E7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181.0</v>
      </c>
      <c r="F99" s="26" t="n">
        <f>0</f>
        <v>0.0</v>
      </c>
      <c r="G99" s="25" t="n">
        <v>4.199066E8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37835.0</v>
      </c>
      <c r="F108" s="18" t="n">
        <f>1136</f>
        <v>1136.0</v>
      </c>
      <c r="G108" s="17" t="n">
        <v>4.760937315E12</v>
      </c>
      <c r="H108" s="18" t="n">
        <f>142498115000</f>
        <v>1.42498115E11</v>
      </c>
    </row>
    <row r="109" spans="1:8" ht="24.9" customHeight="1">
      <c r="A109" s="51"/>
      <c r="B109" s="57"/>
      <c r="C109" s="39"/>
      <c r="D109" s="20" t="s">
        <v>16</v>
      </c>
      <c r="E109" s="21" t="n">
        <v>36234.0</v>
      </c>
      <c r="F109" s="22" t="n">
        <f>4193</f>
        <v>4193.0</v>
      </c>
      <c r="G109" s="21" t="n">
        <v>4.5624167375E12</v>
      </c>
      <c r="H109" s="22" t="n">
        <f>527774757500</f>
        <v>5.277747575E11</v>
      </c>
    </row>
    <row r="110" spans="1:8" ht="24.9" customHeight="1">
      <c r="A110" s="51"/>
      <c r="B110" s="57"/>
      <c r="C110" s="39"/>
      <c r="D110" s="20" t="s">
        <v>17</v>
      </c>
      <c r="E110" s="21" t="n">
        <v>31038.0</v>
      </c>
      <c r="F110" s="22" t="n">
        <f>5970</f>
        <v>5970.0</v>
      </c>
      <c r="G110" s="21" t="n">
        <v>3.912958775E12</v>
      </c>
      <c r="H110" s="22" t="n">
        <f>752233665000</f>
        <v>7.52233665E11</v>
      </c>
    </row>
    <row r="111" spans="1:8" ht="24.9" customHeight="1">
      <c r="A111" s="51"/>
      <c r="B111" s="57"/>
      <c r="C111" s="39"/>
      <c r="D111" s="24" t="s">
        <v>18</v>
      </c>
      <c r="E111" s="25" t="n">
        <v>105107.0</v>
      </c>
      <c r="F111" s="26" t="n">
        <f>11299</f>
        <v>11299.0</v>
      </c>
      <c r="G111" s="25" t="n">
        <v>1.32363128275E13</v>
      </c>
      <c r="H111" s="26" t="n">
        <f>1422506537500</f>
        <v>1.4225065375E12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851.0</v>
      </c>
      <c r="F113" s="22" t="n">
        <f>0</f>
        <v>0.0</v>
      </c>
      <c r="G113" s="21" t="n">
        <v>1.0727628E10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304.0</v>
      </c>
      <c r="F114" s="22" t="n">
        <f>0</f>
        <v>0.0</v>
      </c>
      <c r="G114" s="21" t="n">
        <v>3.834601E9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1155.0</v>
      </c>
      <c r="F115" s="26" t="n">
        <f>0</f>
        <v>0.0</v>
      </c>
      <c r="G115" s="25" t="n">
        <v>1.4562229E10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6392.0</v>
      </c>
      <c r="F117" s="22" t="n">
        <f>6358</f>
        <v>6358.0</v>
      </c>
      <c r="G117" s="21" t="n">
        <v>5.730496E10</v>
      </c>
      <c r="H117" s="22" t="n">
        <f>56999470000</f>
        <v>5.699947E10</v>
      </c>
    </row>
    <row r="118" spans="1:8" ht="24.9" customHeight="1">
      <c r="A118" s="51"/>
      <c r="B118" s="57"/>
      <c r="C118" s="39"/>
      <c r="D118" s="20" t="s">
        <v>17</v>
      </c>
      <c r="E118" s="21" t="n">
        <v>140.0</v>
      </c>
      <c r="F118" s="22" t="n">
        <f>100</f>
        <v>100.0</v>
      </c>
      <c r="G118" s="21" t="n">
        <v>1.26091E9</v>
      </c>
      <c r="H118" s="22" t="n">
        <f>900000000</f>
        <v>9.0E8</v>
      </c>
    </row>
    <row r="119" spans="1:8" ht="24.9" customHeight="1">
      <c r="A119" s="51"/>
      <c r="B119" s="58"/>
      <c r="C119" s="39"/>
      <c r="D119" s="24" t="s">
        <v>18</v>
      </c>
      <c r="E119" s="25" t="n">
        <v>6532.0</v>
      </c>
      <c r="F119" s="26" t="n">
        <f>6458</f>
        <v>6458.0</v>
      </c>
      <c r="G119" s="25" t="n">
        <v>5.856587E10</v>
      </c>
      <c r="H119" s="26" t="n">
        <f>57899470000</f>
        <v>5.789947E10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1337.0</v>
      </c>
      <c r="F120" s="18" t="n">
        <f>0</f>
        <v>0.0</v>
      </c>
      <c r="G120" s="17" t="n">
        <v>3.294849625E10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3737.0</v>
      </c>
      <c r="F121" s="22" t="n">
        <f>0</f>
        <v>0.0</v>
      </c>
      <c r="G121" s="21" t="n">
        <v>9.2128065E10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1176.0</v>
      </c>
      <c r="F122" s="22" t="n">
        <f>0</f>
        <v>0.0</v>
      </c>
      <c r="G122" s="21" t="n">
        <v>2.896490875E10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6250.0</v>
      </c>
      <c r="F123" s="26" t="n">
        <f>0</f>
        <v>0.0</v>
      </c>
      <c r="G123" s="25" t="n">
        <v>1.5404147E11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6316.0</v>
      </c>
      <c r="F124" s="18" t="n">
        <f>0</f>
        <v>0.0</v>
      </c>
      <c r="G124" s="17" t="n">
        <v>1.45566568E11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2229.0</v>
      </c>
      <c r="F125" s="22" t="n">
        <f>0</f>
        <v>0.0</v>
      </c>
      <c r="G125" s="21" t="n">
        <v>5.1464283E10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2469.0</v>
      </c>
      <c r="F126" s="22" t="n">
        <f>0</f>
        <v>0.0</v>
      </c>
      <c r="G126" s="21" t="n">
        <v>5.7047602E10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11014.0</v>
      </c>
      <c r="F127" s="26" t="n">
        <f>0</f>
        <v>0.0</v>
      </c>
      <c r="G127" s="25" t="n">
        <v>2.54078453E11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132.0</v>
      </c>
      <c r="F128" s="18" t="n">
        <f>0</f>
        <v>0.0</v>
      </c>
      <c r="G128" s="17" t="n">
        <v>2.995276E8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27.0</v>
      </c>
      <c r="F129" s="22" t="n">
        <f>0</f>
        <v>0.0</v>
      </c>
      <c r="G129" s="21" t="n">
        <v>6.14656E7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324.0</v>
      </c>
      <c r="F130" s="22" t="n">
        <f>0</f>
        <v>0.0</v>
      </c>
      <c r="G130" s="21" t="n">
        <v>7.386579E8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483.0</v>
      </c>
      <c r="F131" s="26" t="n">
        <f>0</f>
        <v>0.0</v>
      </c>
      <c r="G131" s="25" t="n">
        <v>1.0996511E9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11457.0</v>
      </c>
      <c r="F132" s="18" t="n">
        <f>0</f>
        <v>0.0</v>
      </c>
      <c r="G132" s="17" t="n">
        <v>2.648155535E10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2367.0</v>
      </c>
      <c r="F133" s="22" t="n">
        <f>0</f>
        <v>0.0</v>
      </c>
      <c r="G133" s="21" t="n">
        <v>5.4816298E9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2832.0</v>
      </c>
      <c r="F134" s="22" t="n">
        <f>0</f>
        <v>0.0</v>
      </c>
      <c r="G134" s="21" t="n">
        <v>6.56578825E9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16656.0</v>
      </c>
      <c r="F135" s="26" t="n">
        <f>0</f>
        <v>0.0</v>
      </c>
      <c r="G135" s="25" t="n">
        <v>3.85289734E10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33.0</v>
      </c>
      <c r="F136" s="18" t="n">
        <f>0</f>
        <v>0.0</v>
      </c>
      <c r="G136" s="17" t="n">
        <v>7.43629E7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30.0</v>
      </c>
      <c r="F137" s="22" t="n">
        <f>0</f>
        <v>0.0</v>
      </c>
      <c r="G137" s="21" t="n">
        <v>6.77862E7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20.0</v>
      </c>
      <c r="F138" s="22" t="n">
        <f>0</f>
        <v>0.0</v>
      </c>
      <c r="G138" s="21" t="n">
        <v>4.52269E7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83.0</v>
      </c>
      <c r="F139" s="26" t="n">
        <f>0</f>
        <v>0.0</v>
      </c>
      <c r="G139" s="25" t="n">
        <v>1.87376E8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1115.0</v>
      </c>
      <c r="F144" s="18" t="n">
        <f>0</f>
        <v>0.0</v>
      </c>
      <c r="G144" s="17" t="n">
        <v>4.943118E9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1175.0</v>
      </c>
      <c r="F145" s="22" t="n">
        <f>0</f>
        <v>0.0</v>
      </c>
      <c r="G145" s="21" t="n">
        <v>5.2684715E9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1128.0</v>
      </c>
      <c r="F146" s="22" t="n">
        <f>0</f>
        <v>0.0</v>
      </c>
      <c r="G146" s="21" t="n">
        <v>5.0290575E9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3418.0</v>
      </c>
      <c r="F147" s="26" t="n">
        <f>0</f>
        <v>0.0</v>
      </c>
      <c r="G147" s="25" t="n">
        <v>1.5240647E10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32.0</v>
      </c>
      <c r="F148" s="18" t="n">
        <f>0</f>
        <v>0.0</v>
      </c>
      <c r="G148" s="17" t="n">
        <v>2.89918E7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31.0</v>
      </c>
      <c r="F149" s="22" t="n">
        <f>0</f>
        <v>0.0</v>
      </c>
      <c r="G149" s="21" t="n">
        <v>2.83516E7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256.0</v>
      </c>
      <c r="F150" s="22" t="n">
        <f>0</f>
        <v>0.0</v>
      </c>
      <c r="G150" s="21" t="n">
        <v>2.331966E8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319.0</v>
      </c>
      <c r="F151" s="26" t="n">
        <f>0</f>
        <v>0.0</v>
      </c>
      <c r="G151" s="25" t="n">
        <v>2.9054E8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273.0</v>
      </c>
      <c r="F152" s="18" t="n">
        <f>0</f>
        <v>0.0</v>
      </c>
      <c r="G152" s="17" t="n">
        <v>2.4311975E8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163.0</v>
      </c>
      <c r="F153" s="22" t="n">
        <f>0</f>
        <v>0.0</v>
      </c>
      <c r="G153" s="21" t="n">
        <v>1.463965E8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261.0</v>
      </c>
      <c r="F154" s="22" t="n">
        <f>0</f>
        <v>0.0</v>
      </c>
      <c r="G154" s="21" t="n">
        <v>2.331361E8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697.0</v>
      </c>
      <c r="F155" s="26" t="n">
        <f>0</f>
        <v>0.0</v>
      </c>
      <c r="G155" s="25" t="n">
        <v>6.2265235E8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108.0</v>
      </c>
      <c r="F156" s="18" t="n">
        <f>0</f>
        <v>0.0</v>
      </c>
      <c r="G156" s="17" t="n">
        <v>9.72514E7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106.0</v>
      </c>
      <c r="F157" s="22" t="n">
        <f>0</f>
        <v>0.0</v>
      </c>
      <c r="G157" s="21" t="n">
        <v>9.52221E7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432.0</v>
      </c>
      <c r="F158" s="22" t="n">
        <f>0</f>
        <v>0.0</v>
      </c>
      <c r="G158" s="21" t="n">
        <v>3.871826E8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646.0</v>
      </c>
      <c r="F159" s="26" t="n">
        <f>0</f>
        <v>0.0</v>
      </c>
      <c r="G159" s="25" t="n">
        <v>5.796561E8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107.0</v>
      </c>
      <c r="F168" s="18" t="n">
        <f>0</f>
        <v>0.0</v>
      </c>
      <c r="G168" s="17" t="n">
        <v>2.2964E8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155.0</v>
      </c>
      <c r="F169" s="22" t="n">
        <f>0</f>
        <v>0.0</v>
      </c>
      <c r="G169" s="21" t="n">
        <v>3.3316E8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505.0</v>
      </c>
      <c r="F170" s="22" t="n">
        <f>0</f>
        <v>0.0</v>
      </c>
      <c r="G170" s="21" t="n">
        <v>1.088892E9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767.0</v>
      </c>
      <c r="F171" s="26" t="n">
        <f>0</f>
        <v>0.0</v>
      </c>
      <c r="G171" s="25" t="n">
        <v>1.651692E9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7144000.0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7552000.0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8.0</v>
      </c>
      <c r="F179" s="26" t="n">
        <f>0</f>
        <v>0.0</v>
      </c>
      <c r="G179" s="25" t="n">
        <v>1.4696E7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151.0</v>
      </c>
      <c r="F204" s="18" t="n">
        <f>0</f>
        <v>0.0</v>
      </c>
      <c r="G204" s="17" t="n">
        <v>5.98177E8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222.0</v>
      </c>
      <c r="F205" s="22" t="n">
        <f>0</f>
        <v>0.0</v>
      </c>
      <c r="G205" s="21" t="n">
        <v>8.491405E8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1273.0</v>
      </c>
      <c r="F206" s="22" t="n">
        <f>0</f>
        <v>0.0</v>
      </c>
      <c r="G206" s="21" t="n">
        <v>4.895186E9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1646.0</v>
      </c>
      <c r="F207" s="26" t="n">
        <f>0</f>
        <v>0.0</v>
      </c>
      <c r="G207" s="25" t="n">
        <v>6.3425035E9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200.0</v>
      </c>
      <c r="F210" s="22" t="n">
        <f>200</f>
        <v>200.0</v>
      </c>
      <c r="G210" s="21" t="n">
        <v>3.52656E8</v>
      </c>
      <c r="H210" s="22" t="n">
        <f>352656000</f>
        <v>3.52656E8</v>
      </c>
    </row>
    <row r="211" spans="1:8" ht="24.9" customHeight="1">
      <c r="A211" s="57"/>
      <c r="B211" s="59"/>
      <c r="C211" s="39"/>
      <c r="D211" s="24" t="s">
        <v>18</v>
      </c>
      <c r="E211" s="25" t="n">
        <v>200.0</v>
      </c>
      <c r="F211" s="26" t="n">
        <f>200</f>
        <v>200.0</v>
      </c>
      <c r="G211" s="25" t="n">
        <v>3.52656E8</v>
      </c>
      <c r="H211" s="26" t="n">
        <f>352656000</f>
        <v>3.52656E8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100.0</v>
      </c>
      <c r="F234" s="22" t="n">
        <f>0</f>
        <v>0.0</v>
      </c>
      <c r="G234" s="21" t="n">
        <v>3.864E7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100.0</v>
      </c>
      <c r="F235" s="26" t="n">
        <f>0</f>
        <v>0.0</v>
      </c>
      <c r="G235" s="25" t="n">
        <v>3.864E7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5.0</v>
      </c>
      <c r="F238" s="22" t="n">
        <f>0</f>
        <v>0.0</v>
      </c>
      <c r="G238" s="21" t="n">
        <v>1478400.0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5.0</v>
      </c>
      <c r="F239" s="26" t="n">
        <f>0</f>
        <v>0.0</v>
      </c>
      <c r="G239" s="25" t="n">
        <v>1478400.0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10448</f>
        <v>10448.0</v>
      </c>
      <c r="E12" s="35" t="n">
        <f>7405</f>
        <v>7405.0</v>
      </c>
      <c r="F12" s="17" t="n">
        <f>8863</f>
        <v>8863.0</v>
      </c>
      <c r="G12" s="35" t="n">
        <f>6184</f>
        <v>6184.0</v>
      </c>
      <c r="H12" s="17" t="n">
        <f>19311</f>
        <v>19311.0</v>
      </c>
      <c r="I12" s="35" t="n">
        <f>13589</f>
        <v>13589.0</v>
      </c>
      <c r="J12" s="17" t="n">
        <f>1328891310</f>
        <v>1.32889131E9</v>
      </c>
      <c r="K12" s="35" t="n">
        <f>823632310</f>
        <v>8.2363231E8</v>
      </c>
      <c r="L12" s="17" t="n">
        <f>117353490670</f>
        <v>1.1735349067E11</v>
      </c>
      <c r="M12" s="35" t="n">
        <f>117080622670</f>
        <v>1.1708062267E11</v>
      </c>
      <c r="N12" s="17" t="n">
        <f>118682381980</f>
        <v>1.1868238198E11</v>
      </c>
      <c r="O12" s="35" t="n">
        <f>117904254980</f>
        <v>1.1790425498E11</v>
      </c>
    </row>
    <row r="13" spans="1:15" ht="24.9" customHeight="1">
      <c r="A13" s="38"/>
      <c r="B13" s="62"/>
      <c r="C13" s="20" t="s">
        <v>16</v>
      </c>
      <c r="D13" s="21" t="n">
        <f>5986</f>
        <v>5986.0</v>
      </c>
      <c r="E13" s="36" t="n">
        <f>2990</f>
        <v>2990.0</v>
      </c>
      <c r="F13" s="21" t="n">
        <f>2427</f>
        <v>2427.0</v>
      </c>
      <c r="G13" s="36" t="n">
        <f>417</f>
        <v>417.0</v>
      </c>
      <c r="H13" s="21" t="n">
        <f>8413</f>
        <v>8413.0</v>
      </c>
      <c r="I13" s="36" t="n">
        <f>3407</f>
        <v>3407.0</v>
      </c>
      <c r="J13" s="21" t="n">
        <f>1685524770</f>
        <v>1.68552477E9</v>
      </c>
      <c r="K13" s="36" t="n">
        <f>1271890770</f>
        <v>1.27189077E9</v>
      </c>
      <c r="L13" s="21" t="n">
        <f>572808330</f>
        <v>5.7280833E8</v>
      </c>
      <c r="M13" s="36" t="n">
        <f>179287330</f>
        <v>1.7928733E8</v>
      </c>
      <c r="N13" s="21" t="n">
        <f>2258333100</f>
        <v>2.2583331E9</v>
      </c>
      <c r="O13" s="36" t="n">
        <f>1451178100</f>
        <v>1.4511781E9</v>
      </c>
    </row>
    <row r="14" spans="1:15" ht="24.9" customHeight="1">
      <c r="A14" s="38"/>
      <c r="B14" s="62"/>
      <c r="C14" s="20" t="s">
        <v>17</v>
      </c>
      <c r="D14" s="21" t="n">
        <f>23237</f>
        <v>23237.0</v>
      </c>
      <c r="E14" s="36" t="n">
        <f>17702</f>
        <v>17702.0</v>
      </c>
      <c r="F14" s="21" t="n">
        <f>12548</f>
        <v>12548.0</v>
      </c>
      <c r="G14" s="36" t="n">
        <f>9288</f>
        <v>9288.0</v>
      </c>
      <c r="H14" s="21" t="n">
        <f>35785</f>
        <v>35785.0</v>
      </c>
      <c r="I14" s="36" t="n">
        <f>26990</f>
        <v>26990.0</v>
      </c>
      <c r="J14" s="21" t="n">
        <f>9631042920</f>
        <v>9.63104292E9</v>
      </c>
      <c r="K14" s="36" t="n">
        <f>8717506920</f>
        <v>8.71750692E9</v>
      </c>
      <c r="L14" s="21" t="n">
        <f>11305452460</f>
        <v>1.130545246E10</v>
      </c>
      <c r="M14" s="36" t="n">
        <f>10473250460</f>
        <v>1.047325046E10</v>
      </c>
      <c r="N14" s="21" t="n">
        <f>20936495380</f>
        <v>2.093649538E10</v>
      </c>
      <c r="O14" s="36" t="n">
        <f>19190757380</f>
        <v>1.919075738E10</v>
      </c>
    </row>
    <row r="15" spans="1:15" ht="24.9" customHeight="1">
      <c r="A15" s="38"/>
      <c r="B15" s="62"/>
      <c r="C15" s="24" t="s">
        <v>18</v>
      </c>
      <c r="D15" s="25" t="n">
        <f>39671</f>
        <v>39671.0</v>
      </c>
      <c r="E15" s="37" t="n">
        <f>28097</f>
        <v>28097.0</v>
      </c>
      <c r="F15" s="25" t="n">
        <f>23838</f>
        <v>23838.0</v>
      </c>
      <c r="G15" s="37" t="n">
        <f>15889</f>
        <v>15889.0</v>
      </c>
      <c r="H15" s="25" t="n">
        <f>63509</f>
        <v>63509.0</v>
      </c>
      <c r="I15" s="37" t="n">
        <f>43986</f>
        <v>43986.0</v>
      </c>
      <c r="J15" s="25" t="n">
        <f>12645459000</f>
        <v>1.2645459E10</v>
      </c>
      <c r="K15" s="37" t="n">
        <f>10813030000</f>
        <v>1.081303E10</v>
      </c>
      <c r="L15" s="25" t="n">
        <f>129231751460</f>
        <v>1.2923175146E11</v>
      </c>
      <c r="M15" s="37" t="n">
        <f>127733160460</f>
        <v>1.2773316046E11</v>
      </c>
      <c r="N15" s="25" t="n">
        <f>141877210460</f>
        <v>1.4187721046E11</v>
      </c>
      <c r="O15" s="37" t="n">
        <f>138546190460</f>
        <v>1.3854619046E11</v>
      </c>
    </row>
    <row r="16" spans="1:15" ht="24.9" customHeight="1">
      <c r="A16" s="38"/>
      <c r="B16" s="61" t="s">
        <v>105</v>
      </c>
      <c r="C16" s="16" t="s">
        <v>15</v>
      </c>
      <c r="D16" s="17" t="n">
        <f>5791</f>
        <v>5791.0</v>
      </c>
      <c r="E16" s="35" t="n">
        <f>650</f>
        <v>650.0</v>
      </c>
      <c r="F16" s="17" t="n">
        <f>5844</f>
        <v>5844.0</v>
      </c>
      <c r="G16" s="35" t="n">
        <f>310</f>
        <v>310.0</v>
      </c>
      <c r="H16" s="17" t="n">
        <f>11635</f>
        <v>11635.0</v>
      </c>
      <c r="I16" s="35" t="n">
        <f>960</f>
        <v>960.0</v>
      </c>
      <c r="J16" s="17" t="n">
        <f>193053840</f>
        <v>1.9305384E8</v>
      </c>
      <c r="K16" s="35" t="n">
        <f>9515140</f>
        <v>9515140.0</v>
      </c>
      <c r="L16" s="17" t="n">
        <f>179274590</f>
        <v>1.7927459E8</v>
      </c>
      <c r="M16" s="35" t="n">
        <f>2820490</f>
        <v>2820490.0</v>
      </c>
      <c r="N16" s="17" t="n">
        <f>372328430</f>
        <v>3.7232843E8</v>
      </c>
      <c r="O16" s="35" t="n">
        <f>12335630</f>
        <v>1.233563E7</v>
      </c>
    </row>
    <row r="17" spans="1:15" ht="24.9" customHeight="1">
      <c r="A17" s="38"/>
      <c r="B17" s="62"/>
      <c r="C17" s="20" t="s">
        <v>16</v>
      </c>
      <c r="D17" s="21" t="n">
        <f>3858</f>
        <v>3858.0</v>
      </c>
      <c r="E17" s="36" t="n">
        <f>330</f>
        <v>330.0</v>
      </c>
      <c r="F17" s="21" t="n">
        <f>2564</f>
        <v>2564.0</v>
      </c>
      <c r="G17" s="36" t="n">
        <f>60</f>
        <v>60.0</v>
      </c>
      <c r="H17" s="21" t="n">
        <f>6422</f>
        <v>6422.0</v>
      </c>
      <c r="I17" s="36" t="n">
        <f>390</f>
        <v>390.0</v>
      </c>
      <c r="J17" s="21" t="n">
        <f>146174550</f>
        <v>1.4617455E8</v>
      </c>
      <c r="K17" s="36" t="n">
        <f>8324750</f>
        <v>8324750.0</v>
      </c>
      <c r="L17" s="21" t="n">
        <f>88463910</f>
        <v>8.846391E7</v>
      </c>
      <c r="M17" s="36" t="n">
        <f>509710</f>
        <v>509710.0</v>
      </c>
      <c r="N17" s="21" t="n">
        <f>234638460</f>
        <v>2.3463846E8</v>
      </c>
      <c r="O17" s="36" t="n">
        <f>8834460</f>
        <v>8834460.0</v>
      </c>
    </row>
    <row r="18" spans="1:15" ht="24.9" customHeight="1">
      <c r="A18" s="38"/>
      <c r="B18" s="62"/>
      <c r="C18" s="20" t="s">
        <v>17</v>
      </c>
      <c r="D18" s="21" t="n">
        <f>3724</f>
        <v>3724.0</v>
      </c>
      <c r="E18" s="36" t="n">
        <f>220</f>
        <v>220.0</v>
      </c>
      <c r="F18" s="21" t="n">
        <f>3677</f>
        <v>3677.0</v>
      </c>
      <c r="G18" s="36" t="n">
        <f>390</f>
        <v>390.0</v>
      </c>
      <c r="H18" s="21" t="n">
        <f>7401</f>
        <v>7401.0</v>
      </c>
      <c r="I18" s="36" t="n">
        <f>610</f>
        <v>610.0</v>
      </c>
      <c r="J18" s="21" t="n">
        <f>103527590</f>
        <v>1.0352759E8</v>
      </c>
      <c r="K18" s="36" t="n">
        <f>1446290</f>
        <v>1446290.0</v>
      </c>
      <c r="L18" s="21" t="n">
        <f>109787590</f>
        <v>1.0978759E8</v>
      </c>
      <c r="M18" s="36" t="n">
        <f>1703590</f>
        <v>1703590.0</v>
      </c>
      <c r="N18" s="21" t="n">
        <f>213315180</f>
        <v>2.1331518E8</v>
      </c>
      <c r="O18" s="36" t="n">
        <f>3149880</f>
        <v>3149880.0</v>
      </c>
    </row>
    <row r="19" spans="1:15" ht="24.9" customHeight="1">
      <c r="A19" s="38"/>
      <c r="B19" s="62"/>
      <c r="C19" s="24" t="s">
        <v>18</v>
      </c>
      <c r="D19" s="25" t="n">
        <f>13373</f>
        <v>13373.0</v>
      </c>
      <c r="E19" s="37" t="n">
        <f>1200</f>
        <v>1200.0</v>
      </c>
      <c r="F19" s="25" t="n">
        <f>12085</f>
        <v>12085.0</v>
      </c>
      <c r="G19" s="37" t="n">
        <f>760</f>
        <v>760.0</v>
      </c>
      <c r="H19" s="25" t="n">
        <f>25458</f>
        <v>25458.0</v>
      </c>
      <c r="I19" s="37" t="n">
        <f>1960</f>
        <v>1960.0</v>
      </c>
      <c r="J19" s="25" t="n">
        <f>442755980</f>
        <v>4.4275598E8</v>
      </c>
      <c r="K19" s="37" t="n">
        <f>19286180</f>
        <v>1.928618E7</v>
      </c>
      <c r="L19" s="25" t="n">
        <f>377526090</f>
        <v>3.7752609E8</v>
      </c>
      <c r="M19" s="37" t="n">
        <f>5033790</f>
        <v>5033790.0</v>
      </c>
      <c r="N19" s="25" t="n">
        <f>820282070</f>
        <v>8.2028207E8</v>
      </c>
      <c r="O19" s="37" t="n">
        <f>24319970</f>
        <v>2.431997E7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100</f>
        <v>100.0</v>
      </c>
      <c r="G20" s="35" t="n">
        <f>100</f>
        <v>100.0</v>
      </c>
      <c r="H20" s="17" t="n">
        <f>200</f>
        <v>200.0</v>
      </c>
      <c r="I20" s="35" t="n">
        <f>200</f>
        <v>200.0</v>
      </c>
      <c r="J20" s="17" t="n">
        <f>488000000</f>
        <v>4.88E8</v>
      </c>
      <c r="K20" s="35" t="n">
        <f>488000000</f>
        <v>4.88E8</v>
      </c>
      <c r="L20" s="17" t="n">
        <f>402000000</f>
        <v>4.02E8</v>
      </c>
      <c r="M20" s="35" t="n">
        <f>402000000</f>
        <v>4.02E8</v>
      </c>
      <c r="N20" s="17" t="n">
        <f>890000000</f>
        <v>8.9E8</v>
      </c>
      <c r="O20" s="35" t="n">
        <f>890000000</f>
        <v>8.9E8</v>
      </c>
    </row>
    <row r="21" spans="1:15" ht="24.9" customHeight="1">
      <c r="A21" s="38"/>
      <c r="B21" s="62"/>
      <c r="C21" s="20" t="s">
        <v>16</v>
      </c>
      <c r="D21" s="21" t="n">
        <f>555</f>
        <v>555.0</v>
      </c>
      <c r="E21" s="36" t="n">
        <f>530</f>
        <v>530.0</v>
      </c>
      <c r="F21" s="21" t="n">
        <f>608</f>
        <v>608.0</v>
      </c>
      <c r="G21" s="36" t="n">
        <f>608</f>
        <v>608.0</v>
      </c>
      <c r="H21" s="21" t="n">
        <f>1163</f>
        <v>1163.0</v>
      </c>
      <c r="I21" s="36" t="n">
        <f>1138</f>
        <v>1138.0</v>
      </c>
      <c r="J21" s="21" t="n">
        <f>116507000</f>
        <v>1.16507E8</v>
      </c>
      <c r="K21" s="36" t="n">
        <f>112360000</f>
        <v>1.1236E8</v>
      </c>
      <c r="L21" s="21" t="n">
        <f>2349891000</f>
        <v>2.349891E9</v>
      </c>
      <c r="M21" s="36" t="n">
        <f>2349891000</f>
        <v>2.349891E9</v>
      </c>
      <c r="N21" s="21" t="n">
        <f>2466398000</f>
        <v>2.466398E9</v>
      </c>
      <c r="O21" s="36" t="n">
        <f>2462251000</f>
        <v>2.462251E9</v>
      </c>
    </row>
    <row r="22" spans="1:15" ht="24.9" customHeight="1">
      <c r="A22" s="38"/>
      <c r="B22" s="62"/>
      <c r="C22" s="20" t="s">
        <v>17</v>
      </c>
      <c r="D22" s="21" t="n">
        <f>675</f>
        <v>675.0</v>
      </c>
      <c r="E22" s="36" t="n">
        <f>525</f>
        <v>525.0</v>
      </c>
      <c r="F22" s="21" t="n">
        <f>116</f>
        <v>116.0</v>
      </c>
      <c r="G22" s="36" t="n">
        <f>100</f>
        <v>100.0</v>
      </c>
      <c r="H22" s="21" t="n">
        <f>791</f>
        <v>791.0</v>
      </c>
      <c r="I22" s="36" t="n">
        <f>625</f>
        <v>625.0</v>
      </c>
      <c r="J22" s="21" t="n">
        <f>298850000</f>
        <v>2.9885E8</v>
      </c>
      <c r="K22" s="36" t="n">
        <f>277425000</f>
        <v>2.77425E8</v>
      </c>
      <c r="L22" s="21" t="n">
        <f>126825000</f>
        <v>1.26825E8</v>
      </c>
      <c r="M22" s="36" t="n">
        <f>120000000</f>
        <v>1.2E8</v>
      </c>
      <c r="N22" s="21" t="n">
        <f>425675000</f>
        <v>4.25675E8</v>
      </c>
      <c r="O22" s="36" t="n">
        <f>397425000</f>
        <v>3.97425E8</v>
      </c>
    </row>
    <row r="23" spans="1:15" ht="24.9" customHeight="1">
      <c r="A23" s="38"/>
      <c r="B23" s="62"/>
      <c r="C23" s="24" t="s">
        <v>18</v>
      </c>
      <c r="D23" s="25" t="n">
        <f>1330</f>
        <v>1330.0</v>
      </c>
      <c r="E23" s="37" t="n">
        <f>1155</f>
        <v>1155.0</v>
      </c>
      <c r="F23" s="25" t="n">
        <f>824</f>
        <v>824.0</v>
      </c>
      <c r="G23" s="37" t="n">
        <f>808</f>
        <v>808.0</v>
      </c>
      <c r="H23" s="25" t="n">
        <f>2154</f>
        <v>2154.0</v>
      </c>
      <c r="I23" s="37" t="n">
        <f>1963</f>
        <v>1963.0</v>
      </c>
      <c r="J23" s="25" t="n">
        <f>903357000</f>
        <v>9.03357E8</v>
      </c>
      <c r="K23" s="37" t="n">
        <f>877785000</f>
        <v>8.77785E8</v>
      </c>
      <c r="L23" s="25" t="n">
        <f>2878716000</f>
        <v>2.878716E9</v>
      </c>
      <c r="M23" s="37" t="n">
        <f>2871891000</f>
        <v>2.871891E9</v>
      </c>
      <c r="N23" s="25" t="n">
        <f>3782073000</f>
        <v>3.782073E9</v>
      </c>
      <c r="O23" s="37" t="n">
        <f>3749676000</f>
        <v>3.749676E9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</f>
        <v>1.0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1</f>
        <v>1.0</v>
      </c>
      <c r="I36" s="18" t="n">
        <f>0</f>
        <v>0.0</v>
      </c>
      <c r="J36" s="17" t="n">
        <f>100000</f>
        <v>100000.0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100000</f>
        <v>100000.0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70</f>
        <v>70.0</v>
      </c>
      <c r="E37" s="22" t="n">
        <f>50</f>
        <v>50.0</v>
      </c>
      <c r="F37" s="21" t="n">
        <f>15</f>
        <v>15.0</v>
      </c>
      <c r="G37" s="22" t="n">
        <f>0</f>
        <v>0.0</v>
      </c>
      <c r="H37" s="21" t="n">
        <f>85</f>
        <v>85.0</v>
      </c>
      <c r="I37" s="22" t="n">
        <f>50</f>
        <v>50.0</v>
      </c>
      <c r="J37" s="21" t="n">
        <f>13300000</f>
        <v>1.33E7</v>
      </c>
      <c r="K37" s="22" t="n">
        <f>11100000</f>
        <v>1.11E7</v>
      </c>
      <c r="L37" s="21" t="n">
        <f>4050000</f>
        <v>4050000.0</v>
      </c>
      <c r="M37" s="22" t="n">
        <f>0</f>
        <v>0.0</v>
      </c>
      <c r="N37" s="21" t="n">
        <f>17350000</f>
        <v>1.735E7</v>
      </c>
      <c r="O37" s="22" t="n">
        <f>11100000</f>
        <v>1.11E7</v>
      </c>
    </row>
    <row r="38" spans="1:15" ht="24.9" customHeight="1">
      <c r="A38" s="38"/>
      <c r="B38" s="62"/>
      <c r="C38" s="20" t="s">
        <v>17</v>
      </c>
      <c r="D38" s="21" t="n">
        <f>130</f>
        <v>130.0</v>
      </c>
      <c r="E38" s="36" t="n">
        <f>0</f>
        <v>0.0</v>
      </c>
      <c r="F38" s="21" t="n">
        <f>95</f>
        <v>95.0</v>
      </c>
      <c r="G38" s="36" t="n">
        <f>0</f>
        <v>0.0</v>
      </c>
      <c r="H38" s="21" t="n">
        <f>225</f>
        <v>225.0</v>
      </c>
      <c r="I38" s="36" t="n">
        <f>0</f>
        <v>0.0</v>
      </c>
      <c r="J38" s="21" t="n">
        <f>25050000</f>
        <v>2.505E7</v>
      </c>
      <c r="K38" s="36" t="n">
        <f>0</f>
        <v>0.0</v>
      </c>
      <c r="L38" s="21" t="n">
        <f>25550000</f>
        <v>2.555E7</v>
      </c>
      <c r="M38" s="36" t="n">
        <f>0</f>
        <v>0.0</v>
      </c>
      <c r="N38" s="21" t="n">
        <f>50600000</f>
        <v>5.06E7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201</f>
        <v>201.0</v>
      </c>
      <c r="E39" s="37" t="n">
        <f>50</f>
        <v>50.0</v>
      </c>
      <c r="F39" s="25" t="n">
        <f>110</f>
        <v>110.0</v>
      </c>
      <c r="G39" s="37" t="n">
        <f>0</f>
        <v>0.0</v>
      </c>
      <c r="H39" s="25" t="n">
        <f>311</f>
        <v>311.0</v>
      </c>
      <c r="I39" s="37" t="n">
        <f>50</f>
        <v>50.0</v>
      </c>
      <c r="J39" s="25" t="n">
        <f>38450000</f>
        <v>3.845E7</v>
      </c>
      <c r="K39" s="37" t="n">
        <f>11100000</f>
        <v>1.11E7</v>
      </c>
      <c r="L39" s="25" t="n">
        <f>29600000</f>
        <v>2.96E7</v>
      </c>
      <c r="M39" s="37" t="n">
        <f>0</f>
        <v>0.0</v>
      </c>
      <c r="N39" s="25" t="n">
        <f>68050000</f>
        <v>6.805E7</v>
      </c>
      <c r="O39" s="37" t="n">
        <f>11100000</f>
        <v>1.11E7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1405</f>
        <v>1405.0</v>
      </c>
      <c r="E41" s="36" t="n">
        <f>200</f>
        <v>200.0</v>
      </c>
      <c r="F41" s="21" t="n">
        <f>9669</f>
        <v>9669.0</v>
      </c>
      <c r="G41" s="36" t="n">
        <f>1550</f>
        <v>1550.0</v>
      </c>
      <c r="H41" s="21" t="n">
        <f>11074</f>
        <v>11074.0</v>
      </c>
      <c r="I41" s="36" t="n">
        <f>1750</f>
        <v>1750.0</v>
      </c>
      <c r="J41" s="21" t="n">
        <f>15863630</f>
        <v>1.586363E7</v>
      </c>
      <c r="K41" s="36" t="n">
        <f>894000</f>
        <v>894000.0</v>
      </c>
      <c r="L41" s="21" t="n">
        <f>15284370</f>
        <v>1.528437E7</v>
      </c>
      <c r="M41" s="36" t="n">
        <f>9235000</f>
        <v>9235000.0</v>
      </c>
      <c r="N41" s="21" t="n">
        <f>31148000</f>
        <v>3.1148E7</v>
      </c>
      <c r="O41" s="36" t="n">
        <f>10129000</f>
        <v>1.0129E7</v>
      </c>
    </row>
    <row r="42" spans="1:15" ht="24.9" customHeight="1">
      <c r="A42" s="38"/>
      <c r="B42" s="62"/>
      <c r="C42" s="20" t="s">
        <v>17</v>
      </c>
      <c r="D42" s="21" t="n">
        <f>10257</f>
        <v>10257.0</v>
      </c>
      <c r="E42" s="36" t="n">
        <f>9600</f>
        <v>9600.0</v>
      </c>
      <c r="F42" s="21" t="n">
        <f>146</f>
        <v>146.0</v>
      </c>
      <c r="G42" s="36" t="n">
        <f>0</f>
        <v>0.0</v>
      </c>
      <c r="H42" s="21" t="n">
        <f>10403</f>
        <v>10403.0</v>
      </c>
      <c r="I42" s="36" t="n">
        <f>9600</f>
        <v>9600.0</v>
      </c>
      <c r="J42" s="21" t="n">
        <f>61908940</f>
        <v>6.190894E7</v>
      </c>
      <c r="K42" s="36" t="n">
        <f>55680000</f>
        <v>5.568E7</v>
      </c>
      <c r="L42" s="21" t="n">
        <f>5009345</f>
        <v>5009345.0</v>
      </c>
      <c r="M42" s="36" t="n">
        <f>0</f>
        <v>0.0</v>
      </c>
      <c r="N42" s="21" t="n">
        <f>66918285</f>
        <v>6.6918285E7</v>
      </c>
      <c r="O42" s="36" t="n">
        <f>55680000</f>
        <v>5.568E7</v>
      </c>
    </row>
    <row r="43" spans="1:15" ht="24.9" customHeight="1">
      <c r="A43" s="38"/>
      <c r="B43" s="62"/>
      <c r="C43" s="24" t="s">
        <v>18</v>
      </c>
      <c r="D43" s="25" t="n">
        <f>11662</f>
        <v>11662.0</v>
      </c>
      <c r="E43" s="37" t="n">
        <f>9800</f>
        <v>9800.0</v>
      </c>
      <c r="F43" s="25" t="n">
        <f>9815</f>
        <v>9815.0</v>
      </c>
      <c r="G43" s="37" t="n">
        <f>1550</f>
        <v>1550.0</v>
      </c>
      <c r="H43" s="25" t="n">
        <f>21477</f>
        <v>21477.0</v>
      </c>
      <c r="I43" s="37" t="n">
        <f>11350</f>
        <v>11350.0</v>
      </c>
      <c r="J43" s="25" t="n">
        <f>77772570</f>
        <v>7.777257E7</v>
      </c>
      <c r="K43" s="37" t="n">
        <f>56574000</f>
        <v>5.6574E7</v>
      </c>
      <c r="L43" s="25" t="n">
        <f>20293715</f>
        <v>2.0293715E7</v>
      </c>
      <c r="M43" s="37" t="n">
        <f>9235000</f>
        <v>9235000.0</v>
      </c>
      <c r="N43" s="25" t="n">
        <f>98066285</f>
        <v>9.8066285E7</v>
      </c>
      <c r="O43" s="37" t="n">
        <f>65809000</f>
        <v>6.5809E7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